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er" sheetId="1" r:id="rId4"/>
    <sheet state="visible" name="Project Notes" sheetId="2" r:id="rId5"/>
    <sheet state="visible" name="Dashboard" sheetId="3" r:id="rId6"/>
  </sheets>
  <definedNames>
    <definedName hidden="1" localSheetId="0" name="_xlnm._FilterDatabase">'Task Tracker'!$A$9:$I$17</definedName>
    <definedName hidden="1" localSheetId="0" name="Z_8F98367E_8A93_47C5_ACFC_179EF1238B0B_.wvu.FilterData">'Task Tracker'!$A$9:$I$17</definedName>
  </definedNames>
  <calcPr/>
  <customWorkbookViews>
    <customWorkbookView activeSheetId="0" maximized="1" windowHeight="0" windowWidth="0" guid="{8F98367E-8A93-47C5-ACFC-179EF1238B0B}" name="AdministrativeTaskTracker filter view"/>
  </customWorkbookViews>
  <extLst>
    <ext uri="GoogleSheetsCustomDataVersion2">
      <go:sheetsCustomData xmlns:go="http://customooxmlschemas.google.com/" r:id="rId7" roundtripDataChecksum="6y+9mA2M3HG/mwTMrrlwBEHtlWcpe4V0elmt+Kw/wJY="/>
    </ext>
  </extLst>
</workbook>
</file>

<file path=xl/sharedStrings.xml><?xml version="1.0" encoding="utf-8"?>
<sst xmlns="http://schemas.openxmlformats.org/spreadsheetml/2006/main" count="83" uniqueCount="56">
  <si>
    <t>PROJECT NOTES</t>
  </si>
  <si>
    <t>Purpose</t>
  </si>
  <si>
    <t>Demonstrates practical administrative task tracking, prioritization, deadline monitoring, follow-up, and status reporting.</t>
  </si>
  <si>
    <t>Data</t>
  </si>
  <si>
    <t>All names, tasks, dates, and records in this workbook are fictional and created for portfolio demonstration purposes.</t>
  </si>
  <si>
    <t>Tools Demonstrated</t>
  </si>
  <si>
    <t>Microsoft Excel; data validation; tables; filtering; formulas; conditional formatting; basic administrative reporting.</t>
  </si>
  <si>
    <t>Use Case</t>
  </si>
  <si>
    <t>Designed as a sample workflow an administrative support team could adapt for daily task coordination.</t>
  </si>
  <si>
    <t>ADMINISTRATIVE TASK TRACKER</t>
  </si>
  <si>
    <t>FOR THE MONTH OF AUGUST 2026</t>
  </si>
  <si>
    <t>Total Tasks</t>
  </si>
  <si>
    <t>Completed</t>
  </si>
  <si>
    <t>In Progress</t>
  </si>
  <si>
    <t>Not Started</t>
  </si>
  <si>
    <t>High Priority</t>
  </si>
  <si>
    <t>Completion Rate</t>
  </si>
  <si>
    <t>Task ID</t>
  </si>
  <si>
    <t>Task</t>
  </si>
  <si>
    <t>Category</t>
  </si>
  <si>
    <t>Priority</t>
  </si>
  <si>
    <t>Assigned To</t>
  </si>
  <si>
    <t>Start Date</t>
  </si>
  <si>
    <t>Due Date</t>
  </si>
  <si>
    <t>Status</t>
  </si>
  <si>
    <t>Follow-Up</t>
  </si>
  <si>
    <t>AT-001</t>
  </si>
  <si>
    <t>Respond to client emails</t>
  </si>
  <si>
    <t>Communication</t>
  </si>
  <si>
    <t>High</t>
  </si>
  <si>
    <t>Admin Support</t>
  </si>
  <si>
    <t>AT-002</t>
  </si>
  <si>
    <t>Schedule team meeting</t>
  </si>
  <si>
    <t>Calendar</t>
  </si>
  <si>
    <t>ADMINISTRATIVE TASK DASHBOARD</t>
  </si>
  <si>
    <t>AT-003</t>
  </si>
  <si>
    <t>Metric</t>
  </si>
  <si>
    <t>Value</t>
  </si>
  <si>
    <t>Organize digital records</t>
  </si>
  <si>
    <t>Records</t>
  </si>
  <si>
    <t>Medium</t>
  </si>
  <si>
    <t>AT-004</t>
  </si>
  <si>
    <t>Prepare meeting agenda</t>
  </si>
  <si>
    <t>Meetings</t>
  </si>
  <si>
    <t>AT-005</t>
  </si>
  <si>
    <t>Update contact database</t>
  </si>
  <si>
    <t>Data Management</t>
  </si>
  <si>
    <t>Low</t>
  </si>
  <si>
    <t>AT-006</t>
  </si>
  <si>
    <t>File completed documents</t>
  </si>
  <si>
    <t>AT-007</t>
  </si>
  <si>
    <t>Research supplier information</t>
  </si>
  <si>
    <t>Research</t>
  </si>
  <si>
    <t>AT-008</t>
  </si>
  <si>
    <t>Prepare weekly admin report</t>
  </si>
  <si>
    <t>Reporting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</si>
</sst>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"/>
  </numFmts>
  <fonts count="9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  <scheme val="minor"/>
    </font>
    <font>
      <i/>
      <sz val="10.0"/>
      <color theme="1"/>
      <name val="Calibri"/>
      <scheme val="minor"/>
    </font>
    <font>
      <b/>
      <sz val="12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top"/>
    </xf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9" xfId="0" applyAlignment="1" applyFont="1" applyNumberForma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4" numFmtId="0" xfId="0" applyFont="1"/>
    <xf borderId="0" fillId="0" fontId="8" numFmtId="0" xfId="0" applyFont="1"/>
    <xf borderId="0" fillId="0" fontId="3" numFmtId="9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4" pivot="0" name="Task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Task Status Overview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Dashboard!$A$5:$A$7</c:f>
            </c:strRef>
          </c:cat>
          <c:val>
            <c:numRef>
              <c:f>Dashboard!$B$5:$B$7</c:f>
              <c:numCache/>
            </c:numRef>
          </c:val>
        </c:ser>
        <c:axId val="1604077470"/>
        <c:axId val="2059512561"/>
      </c:barChart>
      <c:catAx>
        <c:axId val="16040774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512561"/>
      </c:catAx>
      <c:valAx>
        <c:axId val="20595125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0774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676775" cy="2514600"/>
    <xdr:graphicFrame>
      <xdr:nvGraphicFramePr>
        <xdr:cNvPr id="4792259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9:I17" displayName="AdministrativeTaskTracker" name="AdministrativeTaskTracker" id="1">
  <autoFilter ref="$A$9:$I$17"/>
  <tableColumns count="9">
    <tableColumn name="Task ID" id="1"/>
    <tableColumn name="Task" id="2"/>
    <tableColumn name="Category" id="3"/>
    <tableColumn name="Priority" id="4"/>
    <tableColumn name="Assigned To" id="5"/>
    <tableColumn name="Start Date" id="6"/>
    <tableColumn name="Due Date" id="7"/>
    <tableColumn name="Status" id="8"/>
    <tableColumn name="Follow-Up" id="9"/>
  </tableColumns>
  <tableStyleInfo name="Task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20.0"/>
    <col customWidth="1" min="4" max="4" width="12.0"/>
    <col customWidth="1" min="5" max="5" width="18.0"/>
    <col customWidth="1" min="6" max="7" width="14.0"/>
    <col customWidth="1" min="8" max="8" width="16.0"/>
    <col customWidth="1" min="9" max="9" width="14.0"/>
    <col customWidth="1" min="10" max="26" width="8.71"/>
  </cols>
  <sheetData>
    <row r="1" ht="30.0" customHeight="1">
      <c r="A1" s="4" t="s">
        <v>9</v>
      </c>
    </row>
    <row r="2">
      <c r="A2" s="5" t="s">
        <v>10</v>
      </c>
    </row>
    <row r="4">
      <c r="A4" s="6" t="s">
        <v>11</v>
      </c>
      <c r="B4" s="7">
        <f>COUNTA(A10:A17)</f>
        <v>8</v>
      </c>
      <c r="C4" s="8"/>
      <c r="D4" s="6" t="s">
        <v>12</v>
      </c>
      <c r="E4" s="7">
        <f>COUNTIF(H10:H17,"Completed")</f>
        <v>1</v>
      </c>
      <c r="F4" s="8"/>
      <c r="G4" s="6" t="s">
        <v>13</v>
      </c>
      <c r="H4" s="7">
        <f>COUNTIF(H10:H17,"In Progress")</f>
        <v>1</v>
      </c>
      <c r="I4" s="8"/>
    </row>
    <row r="5">
      <c r="A5" s="8"/>
      <c r="B5" s="8"/>
      <c r="C5" s="8"/>
      <c r="D5" s="8"/>
      <c r="E5" s="8"/>
      <c r="F5" s="8"/>
      <c r="G5" s="8"/>
      <c r="H5" s="8"/>
      <c r="I5" s="8"/>
    </row>
    <row r="6">
      <c r="A6" s="6" t="s">
        <v>14</v>
      </c>
      <c r="B6" s="7">
        <f>COUNTIF(H10:H17,"Not Started")</f>
        <v>6</v>
      </c>
      <c r="C6" s="8"/>
      <c r="D6" s="6" t="s">
        <v>15</v>
      </c>
      <c r="E6" s="7">
        <f>COUNTIF(D10:D17,"High")</f>
        <v>3</v>
      </c>
      <c r="F6" s="8"/>
      <c r="G6" s="6" t="s">
        <v>16</v>
      </c>
      <c r="H6" s="9">
        <f>IFERROR(E4/B4,0)</f>
        <v>0.125</v>
      </c>
      <c r="I6" s="8"/>
    </row>
    <row r="7">
      <c r="A7" s="8"/>
      <c r="B7" s="8"/>
      <c r="C7" s="8"/>
      <c r="D7" s="8"/>
      <c r="E7" s="8"/>
      <c r="F7" s="8"/>
      <c r="G7" s="8"/>
      <c r="H7" s="8"/>
      <c r="I7" s="8"/>
    </row>
    <row r="8">
      <c r="A8" s="8"/>
      <c r="B8" s="8"/>
      <c r="C8" s="8"/>
      <c r="D8" s="8"/>
      <c r="E8" s="8"/>
      <c r="F8" s="8"/>
      <c r="G8" s="8"/>
      <c r="H8" s="8"/>
      <c r="I8" s="8"/>
    </row>
    <row r="9">
      <c r="A9" s="10" t="s">
        <v>17</v>
      </c>
      <c r="B9" s="10" t="s">
        <v>18</v>
      </c>
      <c r="C9" s="10" t="s">
        <v>19</v>
      </c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  <c r="I9" s="10" t="s">
        <v>25</v>
      </c>
    </row>
    <row r="10">
      <c r="A10" s="11" t="s">
        <v>26</v>
      </c>
      <c r="B10" s="11" t="s">
        <v>27</v>
      </c>
      <c r="C10" s="11" t="s">
        <v>28</v>
      </c>
      <c r="D10" s="11" t="s">
        <v>29</v>
      </c>
      <c r="E10" s="11" t="s">
        <v>30</v>
      </c>
      <c r="F10" s="12">
        <v>46245.0</v>
      </c>
      <c r="G10" s="12">
        <v>46245.0</v>
      </c>
      <c r="H10" s="11" t="s">
        <v>12</v>
      </c>
      <c r="I10" s="12"/>
    </row>
    <row r="11">
      <c r="A11" s="11" t="s">
        <v>31</v>
      </c>
      <c r="B11" s="11" t="s">
        <v>32</v>
      </c>
      <c r="C11" s="11" t="s">
        <v>33</v>
      </c>
      <c r="D11" s="11" t="s">
        <v>29</v>
      </c>
      <c r="E11" s="11" t="s">
        <v>30</v>
      </c>
      <c r="F11" s="12">
        <v>46245.0</v>
      </c>
      <c r="G11" s="12">
        <v>46246.0</v>
      </c>
      <c r="H11" s="11" t="s">
        <v>13</v>
      </c>
      <c r="I11" s="12">
        <v>46246.0</v>
      </c>
    </row>
    <row r="12">
      <c r="A12" s="11" t="s">
        <v>35</v>
      </c>
      <c r="B12" s="11" t="s">
        <v>38</v>
      </c>
      <c r="C12" s="11" t="s">
        <v>39</v>
      </c>
      <c r="D12" s="11" t="s">
        <v>40</v>
      </c>
      <c r="E12" s="11" t="s">
        <v>30</v>
      </c>
      <c r="F12" s="12">
        <v>46245.0</v>
      </c>
      <c r="G12" s="12">
        <v>46248.0</v>
      </c>
      <c r="H12" s="11" t="s">
        <v>14</v>
      </c>
      <c r="I12" s="12">
        <v>46248.0</v>
      </c>
    </row>
    <row r="13">
      <c r="A13" s="11" t="s">
        <v>41</v>
      </c>
      <c r="B13" s="11" t="s">
        <v>42</v>
      </c>
      <c r="C13" s="11" t="s">
        <v>43</v>
      </c>
      <c r="D13" s="11" t="s">
        <v>40</v>
      </c>
      <c r="E13" s="11" t="s">
        <v>30</v>
      </c>
      <c r="F13" s="12">
        <v>46246.0</v>
      </c>
      <c r="G13" s="12">
        <v>46247.0</v>
      </c>
      <c r="H13" s="11" t="s">
        <v>14</v>
      </c>
      <c r="I13" s="12">
        <v>46247.0</v>
      </c>
    </row>
    <row r="14">
      <c r="A14" s="11" t="s">
        <v>44</v>
      </c>
      <c r="B14" s="11" t="s">
        <v>45</v>
      </c>
      <c r="C14" s="11" t="s">
        <v>46</v>
      </c>
      <c r="D14" s="11" t="s">
        <v>47</v>
      </c>
      <c r="E14" s="11" t="s">
        <v>30</v>
      </c>
      <c r="F14" s="12">
        <v>46246.0</v>
      </c>
      <c r="G14" s="12">
        <v>46249.0</v>
      </c>
      <c r="H14" s="11" t="s">
        <v>14</v>
      </c>
      <c r="I14" s="12">
        <v>46249.0</v>
      </c>
    </row>
    <row r="15">
      <c r="A15" s="11" t="s">
        <v>48</v>
      </c>
      <c r="B15" s="11" t="s">
        <v>49</v>
      </c>
      <c r="C15" s="11" t="s">
        <v>39</v>
      </c>
      <c r="D15" s="11" t="s">
        <v>40</v>
      </c>
      <c r="E15" s="11" t="s">
        <v>30</v>
      </c>
      <c r="F15" s="12">
        <v>46247.0</v>
      </c>
      <c r="G15" s="12">
        <v>46248.0</v>
      </c>
      <c r="H15" s="11" t="s">
        <v>14</v>
      </c>
      <c r="I15" s="12">
        <v>46248.0</v>
      </c>
    </row>
    <row r="16">
      <c r="A16" s="11" t="s">
        <v>50</v>
      </c>
      <c r="B16" s="11" t="s">
        <v>51</v>
      </c>
      <c r="C16" s="11" t="s">
        <v>52</v>
      </c>
      <c r="D16" s="11" t="s">
        <v>40</v>
      </c>
      <c r="E16" s="11" t="s">
        <v>30</v>
      </c>
      <c r="F16" s="12">
        <v>46247.0</v>
      </c>
      <c r="G16" s="12">
        <v>46249.0</v>
      </c>
      <c r="H16" s="11" t="s">
        <v>14</v>
      </c>
      <c r="I16" s="12">
        <v>46249.0</v>
      </c>
    </row>
    <row r="17">
      <c r="A17" s="11" t="s">
        <v>53</v>
      </c>
      <c r="B17" s="11" t="s">
        <v>54</v>
      </c>
      <c r="C17" s="11" t="s">
        <v>55</v>
      </c>
      <c r="D17" s="11" t="s">
        <v>29</v>
      </c>
      <c r="E17" s="11" t="s">
        <v>30</v>
      </c>
      <c r="F17" s="12">
        <v>46248.0</v>
      </c>
      <c r="G17" s="12">
        <v>46249.0</v>
      </c>
      <c r="H17" s="11" t="s">
        <v>14</v>
      </c>
      <c r="I17" s="12">
        <v>46249.0</v>
      </c>
    </row>
    <row r="18">
      <c r="D18" s="14"/>
      <c r="H18" s="14"/>
    </row>
    <row r="19">
      <c r="D19" s="14"/>
      <c r="H19" s="14"/>
    </row>
    <row r="20">
      <c r="D20" s="14"/>
      <c r="H20" s="14"/>
    </row>
    <row r="21" ht="15.75" customHeight="1">
      <c r="D21" s="14"/>
      <c r="H21" s="14"/>
    </row>
    <row r="22" ht="15.75" customHeight="1">
      <c r="D22" s="14"/>
      <c r="H22" s="14"/>
    </row>
    <row r="23" ht="15.75" customHeight="1">
      <c r="D23" s="14"/>
      <c r="H23" s="14"/>
    </row>
    <row r="24" ht="15.75" customHeight="1">
      <c r="D24" s="14"/>
      <c r="H24" s="14"/>
    </row>
    <row r="25" ht="15.75" customHeight="1">
      <c r="D25" s="14"/>
      <c r="H25" s="14"/>
    </row>
    <row r="26" ht="15.75" customHeight="1">
      <c r="D26" s="14"/>
      <c r="H26" s="14"/>
    </row>
    <row r="27" ht="15.75" customHeight="1">
      <c r="D27" s="14"/>
      <c r="H27" s="14"/>
    </row>
    <row r="28" ht="15.75" customHeight="1">
      <c r="D28" s="14"/>
      <c r="H28" s="14"/>
    </row>
    <row r="29" ht="15.75" customHeight="1">
      <c r="D29" s="14"/>
      <c r="H29" s="14"/>
    </row>
    <row r="30" ht="15.75" customHeight="1">
      <c r="D30" s="14"/>
      <c r="H30" s="14"/>
    </row>
    <row r="31" ht="15.75" customHeight="1">
      <c r="D31" s="14"/>
      <c r="H31" s="14"/>
    </row>
    <row r="32" ht="15.75" customHeight="1">
      <c r="D32" s="14"/>
      <c r="H32" s="14"/>
    </row>
    <row r="33" ht="15.75" customHeight="1">
      <c r="D33" s="14"/>
      <c r="H33" s="14"/>
    </row>
    <row r="34" ht="15.75" customHeight="1">
      <c r="D34" s="14"/>
      <c r="H34" s="14"/>
    </row>
    <row r="35" ht="15.75" customHeight="1">
      <c r="D35" s="14"/>
      <c r="H35" s="14"/>
    </row>
    <row r="36" ht="15.75" customHeight="1">
      <c r="D36" s="14"/>
      <c r="H36" s="14"/>
    </row>
    <row r="37" ht="15.75" customHeight="1">
      <c r="D37" s="14"/>
      <c r="H37" s="14"/>
    </row>
    <row r="38" ht="15.75" customHeight="1">
      <c r="D38" s="14"/>
      <c r="H38" s="14"/>
    </row>
    <row r="39" ht="15.75" customHeight="1">
      <c r="D39" s="14"/>
      <c r="H39" s="14"/>
    </row>
    <row r="40" ht="15.75" customHeight="1">
      <c r="D40" s="14"/>
      <c r="H40" s="14"/>
    </row>
    <row r="41" ht="15.75" customHeight="1">
      <c r="D41" s="14"/>
      <c r="H41" s="14"/>
    </row>
    <row r="42" ht="15.75" customHeight="1">
      <c r="D42" s="14"/>
      <c r="H42" s="14"/>
    </row>
    <row r="43" ht="15.75" customHeight="1">
      <c r="D43" s="14"/>
      <c r="H43" s="14"/>
    </row>
    <row r="44" ht="15.75" customHeight="1">
      <c r="D44" s="14"/>
      <c r="H44" s="14"/>
    </row>
    <row r="45" ht="15.75" customHeight="1">
      <c r="D45" s="14"/>
      <c r="H45" s="14"/>
    </row>
    <row r="46" ht="15.75" customHeight="1">
      <c r="D46" s="14"/>
      <c r="H46" s="14"/>
    </row>
    <row r="47" ht="15.75" customHeight="1">
      <c r="D47" s="14"/>
      <c r="H47" s="14"/>
    </row>
    <row r="48" ht="15.75" customHeight="1">
      <c r="D48" s="14"/>
      <c r="H48" s="14"/>
    </row>
    <row r="49" ht="15.75" customHeight="1">
      <c r="D49" s="14"/>
      <c r="H49" s="14"/>
    </row>
    <row r="50" ht="15.75" customHeight="1">
      <c r="D50" s="14"/>
      <c r="H50" s="14"/>
    </row>
    <row r="51" ht="15.75" customHeight="1">
      <c r="D51" s="14"/>
      <c r="H51" s="14"/>
    </row>
    <row r="52" ht="15.75" customHeight="1">
      <c r="D52" s="14"/>
      <c r="H52" s="14"/>
    </row>
    <row r="53" ht="15.75" customHeight="1">
      <c r="D53" s="14"/>
      <c r="H53" s="14"/>
    </row>
    <row r="54" ht="15.75" customHeight="1">
      <c r="D54" s="14"/>
      <c r="H54" s="14"/>
    </row>
    <row r="55" ht="15.75" customHeight="1">
      <c r="D55" s="14"/>
      <c r="H55" s="14"/>
    </row>
    <row r="56" ht="15.75" customHeight="1">
      <c r="D56" s="14"/>
      <c r="H56" s="14"/>
    </row>
    <row r="57" ht="15.75" customHeight="1">
      <c r="D57" s="14"/>
      <c r="H57" s="14"/>
    </row>
    <row r="58" ht="15.75" customHeight="1">
      <c r="D58" s="14"/>
      <c r="H58" s="14"/>
    </row>
    <row r="59" ht="15.75" customHeight="1">
      <c r="D59" s="14"/>
      <c r="H59" s="14"/>
    </row>
    <row r="60" ht="15.75" customHeight="1">
      <c r="D60" s="14"/>
      <c r="H60" s="14"/>
    </row>
    <row r="61" ht="15.75" customHeight="1">
      <c r="D61" s="14"/>
      <c r="H61" s="14"/>
    </row>
    <row r="62" ht="15.75" customHeight="1">
      <c r="D62" s="14"/>
      <c r="H62" s="14"/>
    </row>
    <row r="63" ht="15.75" customHeight="1">
      <c r="D63" s="14"/>
      <c r="H63" s="14"/>
    </row>
    <row r="64" ht="15.75" customHeight="1">
      <c r="D64" s="14"/>
      <c r="H64" s="14"/>
    </row>
    <row r="65" ht="15.75" customHeight="1">
      <c r="D65" s="14"/>
      <c r="H65" s="14"/>
    </row>
    <row r="66" ht="15.75" customHeight="1">
      <c r="D66" s="14"/>
      <c r="H66" s="14"/>
    </row>
    <row r="67" ht="15.75" customHeight="1">
      <c r="D67" s="14"/>
      <c r="H67" s="14"/>
    </row>
    <row r="68" ht="15.75" customHeight="1">
      <c r="D68" s="14"/>
      <c r="H68" s="14"/>
    </row>
    <row r="69" ht="15.75" customHeight="1">
      <c r="D69" s="14"/>
      <c r="H69" s="14"/>
    </row>
    <row r="70" ht="15.75" customHeight="1">
      <c r="D70" s="14"/>
      <c r="H70" s="14"/>
    </row>
    <row r="71" ht="15.75" customHeight="1">
      <c r="D71" s="14"/>
      <c r="H71" s="14"/>
    </row>
    <row r="72" ht="15.75" customHeight="1">
      <c r="D72" s="14"/>
      <c r="H72" s="14"/>
    </row>
    <row r="73" ht="15.75" customHeight="1">
      <c r="D73" s="14"/>
      <c r="H73" s="14"/>
    </row>
    <row r="74" ht="15.75" customHeight="1">
      <c r="D74" s="14"/>
      <c r="H74" s="14"/>
    </row>
    <row r="75" ht="15.75" customHeight="1">
      <c r="D75" s="14"/>
      <c r="H75" s="14"/>
    </row>
    <row r="76" ht="15.75" customHeight="1">
      <c r="D76" s="14"/>
      <c r="H76" s="14"/>
    </row>
    <row r="77" ht="15.75" customHeight="1">
      <c r="D77" s="14"/>
      <c r="H77" s="14"/>
    </row>
    <row r="78" ht="15.75" customHeight="1">
      <c r="D78" s="14"/>
      <c r="H78" s="14"/>
    </row>
    <row r="79" ht="15.75" customHeight="1">
      <c r="D79" s="14"/>
      <c r="H79" s="14"/>
    </row>
    <row r="80" ht="15.75" customHeight="1">
      <c r="D80" s="14"/>
      <c r="H80" s="14"/>
    </row>
    <row r="81" ht="15.75" customHeight="1">
      <c r="D81" s="14"/>
      <c r="H81" s="14"/>
    </row>
    <row r="82" ht="15.75" customHeight="1">
      <c r="D82" s="14"/>
      <c r="H82" s="14"/>
    </row>
    <row r="83" ht="15.75" customHeight="1">
      <c r="D83" s="14"/>
      <c r="H83" s="14"/>
    </row>
    <row r="84" ht="15.75" customHeight="1">
      <c r="D84" s="14"/>
      <c r="H84" s="14"/>
    </row>
    <row r="85" ht="15.75" customHeight="1">
      <c r="D85" s="14"/>
      <c r="H85" s="14"/>
    </row>
    <row r="86" ht="15.75" customHeight="1">
      <c r="D86" s="14"/>
      <c r="H86" s="14"/>
    </row>
    <row r="87" ht="15.75" customHeight="1">
      <c r="D87" s="14"/>
      <c r="H87" s="14"/>
    </row>
    <row r="88" ht="15.75" customHeight="1">
      <c r="D88" s="14"/>
      <c r="H88" s="14"/>
    </row>
    <row r="89" ht="15.75" customHeight="1">
      <c r="D89" s="14"/>
      <c r="H89" s="14"/>
    </row>
    <row r="90" ht="15.75" customHeight="1">
      <c r="D90" s="14"/>
      <c r="H90" s="14"/>
    </row>
    <row r="91" ht="15.75" customHeight="1">
      <c r="D91" s="14"/>
      <c r="H91" s="14"/>
    </row>
    <row r="92" ht="15.75" customHeight="1">
      <c r="D92" s="14"/>
      <c r="H92" s="14"/>
    </row>
    <row r="93" ht="15.75" customHeight="1">
      <c r="D93" s="14"/>
      <c r="H93" s="14"/>
    </row>
    <row r="94" ht="15.75" customHeight="1">
      <c r="D94" s="14"/>
      <c r="H94" s="14"/>
    </row>
    <row r="95" ht="15.75" customHeight="1">
      <c r="D95" s="14"/>
      <c r="H95" s="14"/>
    </row>
    <row r="96" ht="15.75" customHeight="1">
      <c r="D96" s="14"/>
      <c r="H96" s="14"/>
    </row>
    <row r="97" ht="15.75" customHeight="1">
      <c r="D97" s="14"/>
      <c r="H97" s="14"/>
    </row>
    <row r="98" ht="15.75" customHeight="1">
      <c r="D98" s="14"/>
      <c r="H98" s="14"/>
    </row>
    <row r="99" ht="15.75" customHeight="1">
      <c r="D99" s="14"/>
      <c r="H99" s="14"/>
    </row>
    <row r="100" ht="15.75" customHeight="1">
      <c r="D100" s="14"/>
      <c r="H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F98367E-8A93-47C5-ACFC-179EF1238B0B}" filter="1" showAutoFilter="1">
      <autoFilter ref="$A$9:$I$17"/>
      <extLst>
        <ext uri="GoogleSheetsCustomDataVersion1">
          <go:sheetsCustomData xmlns:go="http://customooxmlschemas.google.com/" filterViewId="1469193998"/>
        </ext>
      </extLst>
    </customSheetView>
  </customSheetViews>
  <mergeCells count="2">
    <mergeCell ref="A2:I2"/>
    <mergeCell ref="A1:I1"/>
  </mergeCells>
  <conditionalFormatting sqref="D10:D1000">
    <cfRule type="cellIs" dxfId="5" priority="1" operator="equal">
      <formula>"High"</formula>
    </cfRule>
  </conditionalFormatting>
  <conditionalFormatting sqref="D10:D1000">
    <cfRule type="cellIs" dxfId="6" priority="2" operator="equal">
      <formula>"Medium"</formula>
    </cfRule>
  </conditionalFormatting>
  <conditionalFormatting sqref="D10:D1000">
    <cfRule type="cellIs" dxfId="7" priority="3" operator="equal">
      <formula>"Low"</formula>
    </cfRule>
  </conditionalFormatting>
  <conditionalFormatting sqref="H10:H1000">
    <cfRule type="cellIs" dxfId="7" priority="4" operator="equal">
      <formula>"Completed"</formula>
    </cfRule>
  </conditionalFormatting>
  <conditionalFormatting sqref="H10:H1000">
    <cfRule type="cellIs" dxfId="6" priority="5" operator="equal">
      <formula>"In Progress"</formula>
    </cfRule>
  </conditionalFormatting>
  <conditionalFormatting sqref="H10:H1000">
    <cfRule type="cellIs" dxfId="5" priority="6" operator="equal">
      <formula>"Not Started"</formula>
    </cfRule>
  </conditionalFormatting>
  <dataValidations>
    <dataValidation type="list" allowBlank="1" sqref="D10:D100">
      <formula1>"High,Medium,Low"</formula1>
    </dataValidation>
    <dataValidation type="list" allowBlank="1" sqref="H10:H100">
      <formula1>"Not Started,In Progress,Completed"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0.0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5">
      <c r="A5" s="2" t="s">
        <v>3</v>
      </c>
      <c r="B5" s="3" t="s">
        <v>4</v>
      </c>
    </row>
    <row r="7">
      <c r="A7" s="2" t="s">
        <v>5</v>
      </c>
      <c r="B7" s="3" t="s">
        <v>6</v>
      </c>
    </row>
    <row r="9">
      <c r="A9" s="2" t="s">
        <v>7</v>
      </c>
      <c r="B9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26" width="8.71"/>
  </cols>
  <sheetData>
    <row r="1">
      <c r="A1" s="13" t="s">
        <v>34</v>
      </c>
    </row>
    <row r="3">
      <c r="A3" s="2" t="s">
        <v>36</v>
      </c>
      <c r="B3" s="2" t="s">
        <v>37</v>
      </c>
    </row>
    <row r="4">
      <c r="A4" s="14" t="s">
        <v>11</v>
      </c>
      <c r="B4" s="14">
        <f>COUNTA('Task Tracker'!A10:A17)</f>
        <v>8</v>
      </c>
    </row>
    <row r="5">
      <c r="A5" s="14" t="s">
        <v>12</v>
      </c>
      <c r="B5" s="14">
        <f>COUNTIF('Task Tracker'!H10:H17,"Completed")</f>
        <v>1</v>
      </c>
    </row>
    <row r="6">
      <c r="A6" s="14" t="s">
        <v>13</v>
      </c>
      <c r="B6" s="14">
        <f>COUNTIF('Task Tracker'!H10:H17,"In Progress")</f>
        <v>1</v>
      </c>
    </row>
    <row r="7">
      <c r="A7" s="14" t="s">
        <v>14</v>
      </c>
      <c r="B7" s="14">
        <f>COUNTIF('Task Tracker'!H10:H17,"Not Started")</f>
        <v>6</v>
      </c>
    </row>
    <row r="8">
      <c r="A8" s="14" t="s">
        <v>15</v>
      </c>
      <c r="B8" s="14">
        <f>COUNTIF('Task Tracker'!D10:D17,"High")</f>
        <v>3</v>
      </c>
    </row>
    <row r="10">
      <c r="A10" s="14" t="s">
        <v>16</v>
      </c>
      <c r="B10" s="15">
        <f>IFERROR(B5/B4,0)</f>
        <v>0.125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2026-08-11T14:35:28Z</dcterms:created>
  <dc:creator>Ademola Adesanoye</dc:creator>
</cp:coreProperties>
</file>