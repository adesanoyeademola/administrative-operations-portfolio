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definedNames>
    <definedName name="_xlnm._FilterDatabase" localSheetId="0" hidden="1">Sheet1!$A$7:$M$96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<sst xmlns="http://schemas.openxmlformats.org/spreadsheetml/2006/main" count="121" uniqueCount="82">
  <si>
    <t>SUMMARY</t>
  </si>
  <si>
    <t>RESULT</t>
  </si>
  <si>
    <t>COMPLETION RATE</t>
  </si>
  <si>
    <t>FOLLOW-UPS REQUIRED</t>
  </si>
  <si>
    <t>TOTAL TASKS</t>
  </si>
  <si>
    <t>STATUS BREAKDOWN</t>
  </si>
  <si>
    <t>TASK STATUS BREAKDOWN</t>
  </si>
  <si>
    <t>PRIORITY BREAKDOWN</t>
  </si>
  <si>
    <t>COUNT</t>
  </si>
  <si>
    <t>Total Forms Completed</t>
  </si>
  <si>
    <t>SUBMITTED</t>
  </si>
  <si>
    <t>HIGH</t>
  </si>
  <si>
    <t>Total Entries Processsed</t>
  </si>
  <si>
    <t>OVERDUE TASKS</t>
  </si>
  <si>
    <t>TASKS IN PROGRESS</t>
  </si>
  <si>
    <t>TASKS COMPLETED</t>
  </si>
  <si>
    <t>IN PROGRESS</t>
  </si>
  <si>
    <t>MEDIUM</t>
  </si>
  <si>
    <t>Forms Checked</t>
  </si>
  <si>
    <t>PENDING</t>
  </si>
  <si>
    <t>LOW</t>
  </si>
  <si>
    <t>Forms Needing Review/Correction</t>
  </si>
  <si>
    <t>HIGH PRIORITY TASKS</t>
  </si>
  <si>
    <t>PENDING TASKS</t>
  </si>
  <si>
    <t>TASKS REMAINING</t>
  </si>
  <si>
    <t>NEED CORRECTION</t>
  </si>
  <si>
    <t>Date</t>
  </si>
  <si>
    <t>Form/Task</t>
  </si>
  <si>
    <t>Due Date</t>
  </si>
  <si>
    <t>Information Entered</t>
  </si>
  <si>
    <t>Status</t>
  </si>
  <si>
    <t>Checked</t>
  </si>
  <si>
    <t>Notes</t>
  </si>
  <si>
    <t>Priority</t>
  </si>
  <si>
    <t>Follow-up Required</t>
  </si>
  <si>
    <t>Department</t>
  </si>
  <si>
    <t>Date Completed</t>
  </si>
  <si>
    <t>Completion Status</t>
  </si>
  <si>
    <t>Deadline Tracker</t>
  </si>
  <si>
    <t>Daily Feedback Form</t>
  </si>
  <si>
    <t>Pending</t>
  </si>
  <si>
    <t>No</t>
  </si>
  <si>
    <t>Awaiting responses</t>
  </si>
  <si>
    <t>Medium</t>
  </si>
  <si>
    <t>Yes</t>
  </si>
  <si>
    <t>Customer Service</t>
  </si>
  <si>
    <t>Custoner Registration Form</t>
  </si>
  <si>
    <t>Submitted</t>
  </si>
  <si>
    <t>Complete</t>
  </si>
  <si>
    <t>DEPARTMENT BREAKDOWN</t>
  </si>
  <si>
    <t>Partnership Update Form</t>
  </si>
  <si>
    <t>In Progress</t>
  </si>
  <si>
    <t>Awaiting additional Information</t>
  </si>
  <si>
    <t>High</t>
  </si>
  <si>
    <t>Operations</t>
  </si>
  <si>
    <t>ADMINISTRATION</t>
  </si>
  <si>
    <t>Contact Information Form</t>
  </si>
  <si>
    <t>Needs Correction</t>
  </si>
  <si>
    <t>Incorrect contact details found</t>
  </si>
  <si>
    <t>Administration</t>
  </si>
  <si>
    <t>HR</t>
  </si>
  <si>
    <t>Service Request Form</t>
  </si>
  <si>
    <t>Awaiting final response</t>
  </si>
  <si>
    <t>FINANCE</t>
  </si>
  <si>
    <t>Employee Information Update</t>
  </si>
  <si>
    <t>Completed after final verification</t>
  </si>
  <si>
    <t>OPERATIONS</t>
  </si>
  <si>
    <t>Supplier Registration Form</t>
  </si>
  <si>
    <t>Waiting for supplier document</t>
  </si>
  <si>
    <t>CUSTOMER SERVICE</t>
  </si>
  <si>
    <t>Staff Request Form</t>
  </si>
  <si>
    <t>Reviewed and approved</t>
  </si>
  <si>
    <t>Low</t>
  </si>
  <si>
    <t>SALES</t>
  </si>
  <si>
    <t>Customer Complaint Review</t>
  </si>
  <si>
    <t>Reviewing supporting information</t>
  </si>
  <si>
    <t>Payment Confirmation Form</t>
  </si>
  <si>
    <t>Invalid payment reference No</t>
  </si>
  <si>
    <t>Finance</t>
  </si>
  <si>
    <t>FOLLOW-UP BREAKDOWN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</si>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</sst>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;@"/>
  </numFmts>
  <fonts count="28">
    <font>
      <sz val="11"/>
      <color theme="1"/>
      <name val="Calibri"/>
      <charset val="134"/>
      <scheme val="minor"/>
    </font>
    <font>
      <b/>
      <sz val="12"/>
      <color theme="0"/>
      <name val="Calibri Light"/>
      <charset val="134"/>
      <scheme val="major"/>
    </font>
    <font>
      <b/>
      <sz val="12"/>
      <color theme="0"/>
      <name val="Calibri"/>
      <charset val="134"/>
      <scheme val="minor"/>
    </font>
    <font>
      <sz val="12"/>
      <color theme="1"/>
      <name val="Calibri Light"/>
      <charset val="134"/>
      <scheme val="major"/>
    </font>
    <font>
      <b/>
      <sz val="12.5"/>
      <color theme="1"/>
      <name val="Calibri"/>
      <charset val="134"/>
      <scheme val="minor"/>
    </font>
    <font>
      <b/>
      <sz val="12"/>
      <name val="Calibri Light"/>
      <charset val="134"/>
      <scheme val="major"/>
    </font>
    <font>
      <b/>
      <sz val="12"/>
      <color theme="1"/>
      <name val="Calibri Light"/>
      <charset val="134"/>
    </font>
    <font>
      <sz val="12"/>
      <color rgb="FF9C0006"/>
      <name val="Calibri Light"/>
      <charset val="134"/>
      <scheme val="major"/>
    </font>
    <font>
      <b/>
      <sz val="12"/>
      <color theme="1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10" fontId="4" fillId="0" borderId="2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NumberFormat="1" applyBorder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8" fontId="1" fillId="2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3" fillId="0" borderId="1" xfId="0" applyFont="1" applyBorder="1">
      <alignment vertical="center"/>
    </xf>
    <xf numFmtId="178" fontId="3" fillId="0" borderId="1" xfId="0" applyNumberFormat="1" applyFont="1" applyBorder="1">
      <alignment vertical="center"/>
    </xf>
    <xf numFmtId="0" fontId="0" fillId="0" borderId="0" xfId="0" applyAlignment="1">
      <alignment vertical="center"/>
    </xf>
    <xf numFmtId="15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8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9">
    <dxf>
      <font>
        <b val="0"/>
        <i val="0"/>
        <color theme="1"/>
      </font>
      <fill>
        <patternFill patternType="solid">
          <bgColor theme="9"/>
        </patternFill>
      </fill>
    </dxf>
    <dxf>
      <font>
        <b val="1"/>
        <i val="0"/>
        <color theme="9" tint="-0.25"/>
      </font>
      <fill>
        <patternFill patternType="solid">
          <bgColor theme="9" tint="0.8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theme="0"/>
      </font>
      <fill>
        <patternFill patternType="solid">
          <bgColor rgb="FFFF0000"/>
        </patternFill>
      </fill>
    </dxf>
    <dxf>
      <font>
        <b val="0"/>
        <i val="0"/>
        <color theme="1" tint="0.15"/>
      </font>
      <fill>
        <patternFill patternType="solid">
          <bgColor theme="4" tint="0.8"/>
        </patternFill>
      </fill>
    </dxf>
    <dxf>
      <font>
        <color theme="1"/>
      </font>
      <fill>
        <patternFill patternType="solid">
          <bgColor theme="7" tint="0.4"/>
        </patternFill>
      </fill>
    </dxf>
    <dxf>
      <font>
        <b val="0"/>
        <i val="0"/>
        <color theme="1"/>
      </font>
    </dxf>
    <dxf>
      <font>
        <color rgb="FFFF0000"/>
      </font>
      <fill>
        <patternFill patternType="solid">
          <bgColor theme="5" tint="0.8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bgColor rgb="FFFFE9E9"/>
        </patternFill>
      </fill>
    </dxf>
    <dxf>
      <font>
        <b val="1"/>
        <i val="0"/>
        <color rgb="FFFF0000"/>
      </font>
    </dxf>
    <dxf>
      <font>
        <b val="1"/>
        <i val="0"/>
      </font>
    </dxf>
    <dxf>
      <font>
        <b val="0"/>
        <i val="0"/>
        <color theme="1"/>
      </font>
      <fill>
        <patternFill patternType="solid">
          <bgColor theme="7" tint="0.4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theme="1"/>
      </font>
      <fill>
        <patternFill patternType="solid">
          <bgColor theme="7" tint="0.4"/>
        </patternFill>
      </fill>
    </dxf>
    <dxf>
      <font>
        <b val="0"/>
        <i val="0"/>
        <color theme="9" tint="0.4"/>
      </font>
      <fill>
        <patternFill patternType="solid">
          <bgColor rgb="FF217D12"/>
        </patternFill>
      </fill>
    </dxf>
    <dxf>
      <font>
        <b val="0"/>
        <i val="0"/>
        <color theme="7" tint="0.6"/>
      </font>
    </dxf>
    <dxf>
      <font>
        <b val="0"/>
        <i val="0"/>
        <color theme="7" tint="0.8"/>
      </font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6C00"/>
        </patternFill>
      </fill>
    </dxf>
    <dxf>
      <font>
        <color theme="7" tint="0.6"/>
      </font>
    </dxf>
    <dxf>
      <font>
        <color theme="0"/>
      </font>
    </dxf>
    <dxf>
      <font>
        <b val="1"/>
        <i val="0"/>
        <color rgb="FFFF0000"/>
      </font>
      <fill>
        <patternFill patternType="solid">
          <bgColor rgb="FFFFCDC3"/>
        </patternFill>
      </fill>
    </dxf>
    <dxf>
      <fill>
        <patternFill patternType="solid">
          <bgColor rgb="FFFFDDD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7" tint="0.4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9" tint="-0.5"/>
        </patternFill>
      </fill>
    </dxf>
    <dxf>
      <font>
        <color theme="0"/>
      </font>
      <fill>
        <patternFill patternType="solid">
          <bgColor theme="7" tint="0.4"/>
        </patternFill>
      </fill>
    </dxf>
    <dxf>
      <font>
        <color theme="1"/>
      </font>
      <fill>
        <patternFill patternType="solid">
          <bgColor theme="7" tint="0.4"/>
        </patternFill>
      </fill>
    </dxf>
    <dxf>
      <font>
        <color theme="0"/>
      </font>
      <fill>
        <patternFill patternType="solid">
          <bgColor theme="5" tint="-0.5"/>
        </patternFill>
      </fill>
    </dxf>
    <dxf>
      <font>
        <color theme="0"/>
      </font>
      <fill>
        <patternFill patternType="solid">
          <bgColor theme="4" tint="-0.25"/>
        </patternFill>
      </fill>
    </dxf>
    <dxf>
      <font>
        <color theme="0"/>
      </font>
      <fill>
        <patternFill patternType="solid">
          <bgColor theme="5" tint="-0.25"/>
        </patternFill>
      </fill>
    </dxf>
    <dxf>
      <font>
        <color rgb="FF9C0006"/>
      </font>
    </dxf>
    <dxf>
      <font>
        <b val="0"/>
        <i val="0"/>
        <color theme="0"/>
      </font>
      <fill>
        <patternFill patternType="solid">
          <bgColor rgb="FFC00000"/>
        </patternFill>
      </fill>
    </dxf>
    <dxf>
      <font>
        <color rgb="FFDC0000"/>
      </font>
      <fill>
        <patternFill patternType="solid">
          <bgColor rgb="FFFFC7C7"/>
        </patternFill>
      </fill>
    </dxf>
    <dxf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8"/>
        </patternFill>
      </fill>
    </dxf>
    <dxf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0.4"/>
        </patternFill>
      </fill>
    </dxf>
    <dxf>
      <font>
        <b val="0"/>
        <i val="0"/>
        <color theme="1"/>
      </font>
      <fill>
        <patternFill patternType="solid">
          <bgColor theme="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 val="0"/>
        <i val="0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theme="1"/>
      </font>
      <fill>
        <patternFill patternType="solid">
          <bgColor theme="7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7"/>
        </patternFill>
      </fill>
    </dxf>
    <dxf>
      <font>
        <color theme="0"/>
      </font>
      <fill>
        <patternFill patternType="solid">
          <bgColor theme="4" tint="-0.5"/>
        </patternFill>
      </fill>
    </dxf>
    <dxf>
      <fill>
        <patternFill patternType="solid">
          <bgColor theme="4" tint="-0.25"/>
        </patternFill>
      </fill>
    </dxf>
    <dxf>
      <font>
        <color auto="1"/>
      </font>
      <fill>
        <patternFill patternType="solid">
          <bgColor rgb="FFDC0000"/>
        </patternFill>
      </fill>
    </dxf>
    <dxf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rgb="FFC00000"/>
      </font>
      <fill>
        <patternFill patternType="solid">
          <bgColor rgb="FFFFCDCD"/>
        </patternFill>
      </fill>
    </dxf>
    <dxf>
      <font>
        <color rgb="FFDC0000"/>
      </font>
      <fill>
        <patternFill patternType="solid">
          <bgColor rgb="FFFFA1A1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8"/>
      <tableStyleElement type="headerRow" dxfId="67"/>
      <tableStyleElement type="totalRow" dxfId="66"/>
      <tableStyleElement type="firstColumn" dxfId="65"/>
      <tableStyleElement type="lastColumn" dxfId="64"/>
      <tableStyleElement type="firstRowStripe" dxfId="63"/>
      <tableStyleElement type="firstColumnStripe" dxfId="62"/>
    </tableStyle>
    <tableStyle name="PivotStylePreset2_Accent1" table="0" count="10" xr9:uid="{267968C8-6FFD-4C36-ACC1-9EA1FD1885CA}">
      <tableStyleElement type="headerRow" dxfId="78"/>
      <tableStyleElement type="totalRow" dxfId="77"/>
      <tableStyleElement type="firstRowStripe" dxfId="76"/>
      <tableStyleElement type="firstColumnStripe" dxfId="75"/>
      <tableStyleElement type="firstSubtotalRow" dxfId="74"/>
      <tableStyleElement type="secondSubtotalRow" dxfId="73"/>
      <tableStyleElement type="firstRowSubheading" dxfId="72"/>
      <tableStyleElement type="secondRowSubheading" dxfId="71"/>
      <tableStyleElement type="pageFieldLabels" dxfId="70"/>
      <tableStyleElement type="pageFieldValues" dxfId="69"/>
    </tableStyle>
  </tableStyles>
  <colors>
    <mruColors>
      <color rgb="00006C00"/>
      <color rgb="00F9B8B8"/>
      <color rgb="00FFCDC3"/>
      <color rgb="00FFDDD3"/>
      <color rgb="00FFE9E9"/>
      <color rgb="00DC0000"/>
      <color rgb="00FFA1A1"/>
      <color rgb="00FFC7C7"/>
      <color rgb="00FFCDCD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Sheet1!$Q$1</c:f>
              <c:strCache>
                <c:ptCount val="1"/>
                <c:pt idx="0">
                  <c:v>TASK STATUS BREAKDOWN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28575" cmpd="sng">
                <a:noFill/>
                <a:prstDash val="solid"/>
              </a:ln>
              <a:effectLst/>
              <a:sp3d contourW="28575"/>
            </c:spPr>
          </c:dPt>
          <c:dPt>
            <c:idx val="2"/>
            <c:bubble3D val="0"/>
            <c:spPr>
              <a:solidFill>
                <a:schemeClr val="accent4"/>
              </a:solidFill>
              <a:ln w="12700" cmpd="sng">
                <a:noFill/>
                <a:prstDash val="solid"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p3d contourW="12700"/>
            </c:spPr>
          </c:dPt>
          <c:dPt>
            <c:idx val="3"/>
            <c:bubble3D val="0"/>
            <c:spPr>
              <a:solidFill>
                <a:schemeClr val="accent2"/>
              </a:solidFill>
              <a:ln w="12700" cmpd="sng">
                <a:noFill/>
                <a:prstDash val="solid"/>
              </a:ln>
              <a:effectLst/>
              <a:sp3d contourW="12700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Sheet1!$P$2:$P$5</c:f>
              <c:strCache>
                <c:ptCount val="4"/>
                <c:pt idx="0">
                  <c:v>SUBMITTED</c:v>
                </c:pt>
                <c:pt idx="1">
                  <c:v>IN PROGRESS</c:v>
                </c:pt>
                <c:pt idx="2">
                  <c:v>PENDING</c:v>
                </c:pt>
                <c:pt idx="3">
                  <c:v>NEED CORRECTION</c:v>
                </c:pt>
              </c:strCache>
            </c:strRef>
          </c:cat>
          <c:val>
            <c:numRef>
              <c:f>Sheet1!$Q$2:$Q$5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82105263157895"/>
          <c:y val="0.322506861848124"/>
          <c:w val="0.385789473684211"/>
          <c:h val="0.670631290027447"/>
        </c:manualLayout>
      </c:layout>
      <c:doughnutChart>
        <c:varyColors val="1"/>
        <c:ser>
          <c:idx val="0"/>
          <c:order val="0"/>
          <c:tx>
            <c:strRef>
              <c:f>Sheet1!$W$17</c:f>
              <c:strCache>
                <c:ptCount val="1"/>
                <c:pt idx="0">
                  <c:v>COUNT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Sheet1!$V$18:$V$19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Sheet1!$W$18:$W$19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594360</xdr:colOff>
      <xdr:row>8</xdr:row>
      <xdr:rowOff>113665</xdr:rowOff>
    </xdr:from>
    <xdr:to>
      <xdr:col>20</xdr:col>
      <xdr:colOff>23495</xdr:colOff>
      <xdr:row>21</xdr:row>
      <xdr:rowOff>127000</xdr:rowOff>
    </xdr:to>
    <xdr:graphicFrame>
      <xdr:nvGraphicFramePr>
        <xdr:cNvPr id="2" name="Chart 1"/>
        <xdr:cNvGraphicFramePr/>
      </xdr:nvGraphicFramePr>
      <xdr:xfrm>
        <a:off x="24923750" y="1723390"/>
        <a:ext cx="6118860" cy="2613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22</xdr:row>
      <xdr:rowOff>25400</xdr:rowOff>
    </xdr:from>
    <xdr:to>
      <xdr:col>19</xdr:col>
      <xdr:colOff>120650</xdr:colOff>
      <xdr:row>35</xdr:row>
      <xdr:rowOff>168275</xdr:rowOff>
    </xdr:to>
    <xdr:graphicFrame>
      <xdr:nvGraphicFramePr>
        <xdr:cNvPr id="3" name="Chart 2"/>
        <xdr:cNvGraphicFramePr/>
      </xdr:nvGraphicFramePr>
      <xdr:xfrm>
        <a:off x="25700990" y="4435475"/>
        <a:ext cx="48291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6"/>
  <sheetViews>
    <sheetView tabSelected="1" zoomScale="60" zoomScaleNormal="60" topLeftCell="B1" workbookViewId="0">
      <pane ySplit="7" topLeftCell="A8" activePane="bottomLeft" state="frozen"/>
      <selection/>
      <selection pane="bottomLeft" activeCell="K6" sqref="K6"/>
    </sheetView>
  </sheetViews>
  <sheetFormatPr defaultColWidth="9.14285714285714" defaultRowHeight="15"/>
  <cols>
    <col min="1" max="1" width="33.4285714285714" customWidth="1"/>
    <col min="2" max="2" width="37.8952380952381" customWidth="1"/>
    <col min="3" max="3" width="31.5714285714286" customWidth="1"/>
    <col min="4" max="4" width="29.5714285714286" customWidth="1"/>
    <col min="5" max="5" width="21" customWidth="1"/>
    <col min="6" max="6" width="26.5428571428571" customWidth="1"/>
    <col min="7" max="7" width="35.3333333333333" customWidth="1"/>
    <col min="8" max="8" width="22.3428571428571" customWidth="1"/>
    <col min="9" max="9" width="27.5619047619048" customWidth="1"/>
    <col min="10" max="10" width="20.8380952380952" customWidth="1"/>
    <col min="11" max="11" width="25.0380952380952" customWidth="1"/>
    <col min="12" max="12" width="27.2190476190476" customWidth="1"/>
    <col min="13" max="13" width="26.552380952381" customWidth="1"/>
    <col min="16" max="16" width="24.2" style="1" customWidth="1"/>
    <col min="17" max="17" width="30.4190476190476" customWidth="1"/>
    <col min="22" max="22" width="30.9238095238095" customWidth="1"/>
  </cols>
  <sheetData>
    <row r="1" ht="15.75" spans="1:24">
      <c r="A1" s="2" t="s">
        <v>0</v>
      </c>
      <c r="B1" s="3" t="s">
        <v>1</v>
      </c>
      <c r="D1" s="4" t="s">
        <v>2</v>
      </c>
      <c r="F1" s="5" t="s">
        <v>3</v>
      </c>
      <c r="H1" s="6" t="s">
        <v>4</v>
      </c>
      <c r="P1" s="7" t="s">
        <v>5</v>
      </c>
      <c r="Q1" s="7" t="s">
        <v>6</v>
      </c>
      <c r="V1" s="8" t="s">
        <v>7</v>
      </c>
      <c r="W1" s="9" t="s">
        <v>8</v>
      </c>
    </row>
    <row r="2" ht="17.25" spans="1:24">
      <c r="A2" s="10" t="s">
        <v>9</v>
      </c>
      <c r="B2" s="11">
        <f>COUNTIF(E8:E96,"Submitted")</f>
        <v>3</v>
      </c>
      <c r="C2" s="12"/>
      <c r="D2" s="13">
        <f>IFERROR(B2/COUNTA(B8:B96),0)</f>
        <v>0.3</v>
      </c>
      <c r="F2">
        <f>COUNTIF(I8:I96,"Yes")</f>
        <v>7</v>
      </c>
      <c r="H2">
        <f>COUNTA(B8:B96)</f>
        <v>10</v>
      </c>
      <c r="P2" s="14" t="s">
        <v>10</v>
      </c>
      <c r="Q2" s="15">
        <f>COUNTIF(E8:E96,"Submitted")</f>
        <v>3</v>
      </c>
      <c r="V2" s="16" t="s">
        <v>11</v>
      </c>
      <c r="W2" s="17">
        <f>COUNTIF(H8:H96,"High")</f>
        <v>5</v>
      </c>
      <c r="X2" s="18"/>
    </row>
    <row r="3" ht="15.75" spans="1:24">
      <c r="A3" s="10" t="s">
        <v>12</v>
      </c>
      <c r="B3" s="19">
        <f>SUM(D8:D96)</f>
        <v>90</v>
      </c>
      <c r="D3" s="6" t="s">
        <v>13</v>
      </c>
      <c r="F3" s="6" t="s">
        <v>14</v>
      </c>
      <c r="H3" s="5" t="s">
        <v>15</v>
      </c>
      <c r="P3" s="14" t="s">
        <v>16</v>
      </c>
      <c r="Q3" s="15">
        <f>COUNTIF(E8:E96,"In Progress")</f>
        <v>2</v>
      </c>
      <c r="V3" s="16" t="s">
        <v>17</v>
      </c>
      <c r="W3" s="17">
        <f>COUNTIF(H8:H96,"Medium")</f>
        <v>4</v>
      </c>
      <c r="X3" s="18"/>
    </row>
    <row r="4" ht="15.75" spans="1:24">
      <c r="A4" s="10" t="s">
        <v>18</v>
      </c>
      <c r="B4" s="11">
        <f>COUNTIF(F8:F96,"YES")</f>
        <v>3</v>
      </c>
      <c r="C4" s="12"/>
      <c r="D4">
        <f ca="1">COUNTIF(L8:L96,"Overdue")</f>
        <v>1</v>
      </c>
      <c r="F4">
        <f>COUNTIF(E8:E96,"In Progress")</f>
        <v>2</v>
      </c>
      <c r="H4">
        <f>COUNTIF(E8:E96,"Submitted")</f>
        <v>3</v>
      </c>
      <c r="P4" s="14" t="s">
        <v>19</v>
      </c>
      <c r="Q4" s="15">
        <f>COUNTIF(E8:E96,"Pending")</f>
        <v>3</v>
      </c>
      <c r="V4" s="16" t="s">
        <v>20</v>
      </c>
      <c r="W4" s="17">
        <f>COUNTIF(H8:H96,"Low")</f>
        <v>1</v>
      </c>
      <c r="X4" s="18"/>
    </row>
    <row r="5" ht="15.75" spans="1:24">
      <c r="A5" s="10" t="s">
        <v>21</v>
      </c>
      <c r="B5" s="11">
        <f>COUNTIF(F8:F96,"Needs Correction")</f>
        <v>2</v>
      </c>
      <c r="C5" s="12"/>
      <c r="D5" s="6" t="s">
        <v>22</v>
      </c>
      <c r="F5" s="6" t="s">
        <v>23</v>
      </c>
      <c r="H5" s="6" t="s">
        <v>24</v>
      </c>
      <c r="P5" s="14" t="s">
        <v>25</v>
      </c>
      <c r="Q5" s="15">
        <f>COUNTIF(E8:E96,"Needs Correction")</f>
        <v>2</v>
      </c>
    </row>
    <row r="6" spans="1:24">
      <c r="B6">
        <f>COUNTIF(E8:E96,"Pending")</f>
        <v>3</v>
      </c>
      <c r="D6">
        <f>COUNTIF(H8:H96,"High")</f>
        <v>5</v>
      </c>
      <c r="F6">
        <f>COUNTIF(E8:E96,"Pending")</f>
        <v>3</v>
      </c>
      <c r="H6">
        <f>H2-H4</f>
        <v>7</v>
      </c>
    </row>
    <row r="7" ht="15.75" spans="1:24">
      <c r="A7" s="20" t="s">
        <v>26</v>
      </c>
      <c r="B7" s="20" t="s">
        <v>27</v>
      </c>
      <c r="C7" s="20" t="s">
        <v>28</v>
      </c>
      <c r="D7" s="20" t="s">
        <v>29</v>
      </c>
      <c r="E7" s="20" t="s">
        <v>30</v>
      </c>
      <c r="F7" s="20" t="s">
        <v>31</v>
      </c>
      <c r="G7" s="20" t="s">
        <v>32</v>
      </c>
      <c r="H7" s="21" t="s">
        <v>33</v>
      </c>
      <c r="I7" s="21" t="s">
        <v>34</v>
      </c>
      <c r="J7" s="21" t="s">
        <v>35</v>
      </c>
      <c r="K7" s="22" t="s">
        <v>36</v>
      </c>
      <c r="L7" s="21" t="s">
        <v>37</v>
      </c>
      <c r="M7" s="21" t="s">
        <v>38</v>
      </c>
    </row>
    <row r="8" ht="15.75" spans="1:24">
      <c r="A8" s="23">
        <v>46255</v>
      </c>
      <c r="B8" s="10" t="s">
        <v>39</v>
      </c>
      <c r="C8" s="23">
        <v>46257</v>
      </c>
      <c r="D8" s="24">
        <v>8</v>
      </c>
      <c r="E8" s="10" t="s">
        <v>40</v>
      </c>
      <c r="F8" s="10" t="s">
        <v>41</v>
      </c>
      <c r="G8" s="25" t="s">
        <v>42</v>
      </c>
      <c r="H8" s="26" t="s">
        <v>43</v>
      </c>
      <c r="I8" s="27" t="s">
        <v>44</v>
      </c>
      <c r="J8" s="27" t="s">
        <v>45</v>
      </c>
      <c r="K8" s="28"/>
      <c r="L8" s="27" t="str">
        <f ca="1">IF(C8="","",IF(K8="",IF(TODAY()&gt;C8,"Overdue","Pending"),IF(K8&lt;=C8,"On Time","Late")))</f>
        <v>Pending</v>
      </c>
      <c r="M8" s="27" t="str">
        <f ca="1">IF(C8="","",IF(K8&lt;&gt;"","Completed",IF(C8=TODAY(),"Due Today",IF(C8&gt;TODAY(),C8-TODAY()&amp;" days remaining",TODAY()-C8&amp;" days overdue"))))</f>
        <v>2 days remaining</v>
      </c>
      <c r="P8" s="29"/>
    </row>
    <row r="9" ht="15.75" spans="1:24">
      <c r="A9" s="23">
        <v>46255</v>
      </c>
      <c r="B9" s="24" t="s">
        <v>46</v>
      </c>
      <c r="C9" s="30">
        <v>46255</v>
      </c>
      <c r="D9" s="24">
        <v>12</v>
      </c>
      <c r="E9" s="24" t="s">
        <v>47</v>
      </c>
      <c r="F9" s="24" t="s">
        <v>44</v>
      </c>
      <c r="G9" s="25" t="s">
        <v>48</v>
      </c>
      <c r="H9" s="31" t="s">
        <v>43</v>
      </c>
      <c r="I9" s="31" t="s">
        <v>41</v>
      </c>
      <c r="J9" s="31" t="s">
        <v>45</v>
      </c>
      <c r="K9" s="28">
        <v>46255</v>
      </c>
      <c r="L9" s="27" t="str">
        <f ca="1">IF(C9="","",IF(K9="",IF(TODAY()&gt;C9,"Overdue","Pending"),IF(K9&lt;=C9,"On Time","Late")))</f>
        <v>On Time</v>
      </c>
      <c r="M9" s="27" t="str">
        <f ca="1">IF(C9="","",IF(K9&lt;&gt;"","Completed",IF(C9=TODAY(),"Due Today",IF(C9&gt;TODAY(),C9-TODAY()&amp;" days remaining",TODAY()-C9&amp;" days overdue"))))</f>
        <v>Completed</v>
      </c>
      <c r="V9" s="32" t="s">
        <v>49</v>
      </c>
      <c r="W9" s="32" t="s">
        <v>8</v>
      </c>
    </row>
    <row r="10" ht="15.75" spans="1:24">
      <c r="A10" s="30">
        <v>46255</v>
      </c>
      <c r="B10" s="24" t="s">
        <v>50</v>
      </c>
      <c r="C10" s="30">
        <v>46258</v>
      </c>
      <c r="D10" s="24">
        <v>6</v>
      </c>
      <c r="E10" s="24" t="s">
        <v>51</v>
      </c>
      <c r="F10" s="24" t="s">
        <v>41</v>
      </c>
      <c r="G10" s="25" t="s">
        <v>52</v>
      </c>
      <c r="H10" s="31" t="s">
        <v>53</v>
      </c>
      <c r="I10" s="33" t="s">
        <v>44</v>
      </c>
      <c r="J10" s="31" t="s">
        <v>54</v>
      </c>
      <c r="K10" s="28"/>
      <c r="L10" s="27" t="str">
        <f ca="1">IF(C10="","",IF(K10="",IF(TODAY()&gt;C10,"Overdue","Pending"),IF(K10&lt;=C10,"On Time","Late")))</f>
        <v>Pending</v>
      </c>
      <c r="M10" s="27" t="str">
        <f ca="1">IF(C10="","",IF(K10&lt;&gt;"","Completed",IF(C10=TODAY(),"Due Today",IF(C10&gt;TODAY(),C10-TODAY()&amp;" days remaining",TODAY()-C10&amp;" days overdue"))))</f>
        <v>3 days remaining</v>
      </c>
      <c r="U10" s="34"/>
      <c r="V10" s="35" t="s">
        <v>55</v>
      </c>
      <c r="W10" s="17">
        <f>COUNTIF(J8:J96,"Administration")</f>
        <v>1</v>
      </c>
    </row>
    <row r="11" ht="15.75" spans="1:24">
      <c r="A11" s="30">
        <v>46255</v>
      </c>
      <c r="B11" s="24" t="s">
        <v>56</v>
      </c>
      <c r="C11" s="30">
        <v>46256</v>
      </c>
      <c r="D11" s="24">
        <v>10</v>
      </c>
      <c r="E11" s="24" t="s">
        <v>57</v>
      </c>
      <c r="F11" s="24" t="s">
        <v>57</v>
      </c>
      <c r="G11" s="25" t="s">
        <v>58</v>
      </c>
      <c r="H11" s="31" t="s">
        <v>53</v>
      </c>
      <c r="I11" s="31" t="s">
        <v>44</v>
      </c>
      <c r="J11" s="31" t="s">
        <v>59</v>
      </c>
      <c r="K11" s="28"/>
      <c r="L11" s="27" t="str">
        <f ca="1">IF(C11="","",IF(K11="",IF(TODAY()&gt;C11,"Overdue","Pending"),IF(K11&lt;=C11,"On Time","Late")))</f>
        <v>Pending</v>
      </c>
      <c r="M11" s="27" t="str">
        <f ca="1">IF(C11="","",IF(K11&lt;&gt;"","Completed",IF(C11=TODAY(),"Due Today",IF(C11&gt;TODAY(),C11-TODAY()&amp;" days remaining",TODAY()-C11&amp;" days overdue"))))</f>
        <v>1 days remaining</v>
      </c>
      <c r="U11" s="34"/>
      <c r="V11" s="35" t="s">
        <v>60</v>
      </c>
      <c r="W11" s="17">
        <f>COUNTIF(J8:J96,"HR")</f>
        <v>2</v>
      </c>
    </row>
    <row r="12" ht="15.75" spans="1:24">
      <c r="A12" s="30">
        <v>46252</v>
      </c>
      <c r="B12" s="24" t="s">
        <v>61</v>
      </c>
      <c r="C12" s="30">
        <v>46254</v>
      </c>
      <c r="D12" s="24">
        <v>9</v>
      </c>
      <c r="E12" s="24" t="s">
        <v>40</v>
      </c>
      <c r="F12" s="24" t="s">
        <v>41</v>
      </c>
      <c r="G12" s="25" t="s">
        <v>62</v>
      </c>
      <c r="H12" s="31" t="s">
        <v>53</v>
      </c>
      <c r="I12" s="31" t="s">
        <v>44</v>
      </c>
      <c r="J12" s="31" t="s">
        <v>45</v>
      </c>
      <c r="K12" s="28"/>
      <c r="L12" s="27" t="str">
        <f ca="1">IF(C12="","",IF(K12="",IF(TODAY()&gt;C12,"Overdue","Pending"),IF(K12&lt;=C12,"On Time","Late")))</f>
        <v>Overdue</v>
      </c>
      <c r="M12" s="27" t="str">
        <f ca="1">IF(C12="","",IF(K12&lt;&gt;"","Completed",IF(C12=TODAY(),"Due Today",IF(C12&gt;TODAY(),C12-TODAY()&amp;" days remaining",TODAY()-C12&amp;" days overdue"))))</f>
        <v>1 days overdue</v>
      </c>
      <c r="U12" s="34"/>
      <c r="V12" s="35" t="s">
        <v>63</v>
      </c>
      <c r="W12" s="17">
        <f>COUNTIF(J8:J96,"Finance")</f>
        <v>1</v>
      </c>
    </row>
    <row r="13" ht="15.75" spans="1:24">
      <c r="A13" s="30">
        <v>46251</v>
      </c>
      <c r="B13" s="24" t="s">
        <v>64</v>
      </c>
      <c r="C13" s="30">
        <v>46253</v>
      </c>
      <c r="D13" s="24">
        <v>14</v>
      </c>
      <c r="E13" s="24" t="s">
        <v>47</v>
      </c>
      <c r="F13" s="24" t="s">
        <v>44</v>
      </c>
      <c r="G13" s="25" t="s">
        <v>65</v>
      </c>
      <c r="H13" s="31" t="s">
        <v>43</v>
      </c>
      <c r="I13" s="31" t="s">
        <v>41</v>
      </c>
      <c r="J13" s="31" t="s">
        <v>60</v>
      </c>
      <c r="K13" s="28">
        <v>46254</v>
      </c>
      <c r="L13" s="27" t="str">
        <f ca="1">IF(C13="","",IF(K13="",IF(TODAY()&gt;C13,"Overdue","Pending"),IF(K13&lt;=C13,"On Time","Late")))</f>
        <v>Late</v>
      </c>
      <c r="M13" s="27" t="str">
        <f ca="1">IF(C13="","",IF(K13&lt;&gt;"","Completed",IF(C13=TODAY(),"Due Today",IF(C13&gt;TODAY(),C13-TODAY()&amp;" days remaining",TODAY()-C13&amp;" days overdue"))))</f>
        <v>Completed</v>
      </c>
      <c r="U13" s="34"/>
      <c r="V13" s="35" t="s">
        <v>66</v>
      </c>
      <c r="W13" s="17">
        <f>COUNTIF(J8:J96,"Operations")</f>
        <v>2</v>
      </c>
    </row>
    <row r="14" ht="15.75" spans="1:24">
      <c r="A14" s="30">
        <v>46255</v>
      </c>
      <c r="B14" s="24" t="s">
        <v>67</v>
      </c>
      <c r="C14" s="30">
        <v>46259</v>
      </c>
      <c r="D14" s="24">
        <v>7</v>
      </c>
      <c r="E14" s="24" t="s">
        <v>40</v>
      </c>
      <c r="F14" s="24" t="s">
        <v>41</v>
      </c>
      <c r="G14" s="25" t="s">
        <v>68</v>
      </c>
      <c r="H14" s="31" t="s">
        <v>43</v>
      </c>
      <c r="I14" s="31" t="s">
        <v>44</v>
      </c>
      <c r="J14" s="31" t="s">
        <v>54</v>
      </c>
      <c r="K14" s="28"/>
      <c r="L14" s="27" t="str">
        <f ca="1">IF(C14="","",IF(K14="",IF(TODAY()&gt;C14,"Overdue","Pending"),IF(K14&lt;=C14,"On Time","Late")))</f>
        <v>Pending</v>
      </c>
      <c r="M14" s="27" t="str">
        <f ca="1">IF(C14="","",IF(K14&lt;&gt;"","Completed",IF(C14=TODAY(),"Due Today",IF(C14&gt;TODAY(),C14-TODAY()&amp;" days remaining",TODAY()-C14&amp;" days overdue"))))</f>
        <v>4 days remaining</v>
      </c>
      <c r="U14" s="34"/>
      <c r="V14" s="35" t="s">
        <v>69</v>
      </c>
      <c r="W14" s="17">
        <f>COUNTIF(J8:J96,"Customer service")</f>
        <v>4</v>
      </c>
    </row>
    <row r="15" ht="15.75" spans="1:24">
      <c r="A15" s="30">
        <v>46254</v>
      </c>
      <c r="B15" s="24" t="s">
        <v>70</v>
      </c>
      <c r="C15" s="30">
        <v>46256</v>
      </c>
      <c r="D15" s="24">
        <v>5</v>
      </c>
      <c r="E15" s="24" t="s">
        <v>47</v>
      </c>
      <c r="F15" s="24" t="s">
        <v>44</v>
      </c>
      <c r="G15" s="25" t="s">
        <v>71</v>
      </c>
      <c r="H15" s="31" t="s">
        <v>72</v>
      </c>
      <c r="I15" s="31" t="s">
        <v>41</v>
      </c>
      <c r="J15" s="31" t="s">
        <v>60</v>
      </c>
      <c r="K15" s="28">
        <v>46255</v>
      </c>
      <c r="L15" s="27" t="str">
        <f ca="1">IF(C15="","",IF(K15="",IF(TODAY()&gt;C15,"Overdue","Pending"),IF(K15&lt;=C15,"On Time","Late")))</f>
        <v>On Time</v>
      </c>
      <c r="M15" s="27" t="str">
        <f ca="1">IF(C15="","",IF(K15&lt;&gt;"","Completed",IF(C15=TODAY(),"Due Today",IF(C15&gt;TODAY(),C15-TODAY()&amp;" days remaining",TODAY()-C15&amp;" days overdue"))))</f>
        <v>Completed</v>
      </c>
      <c r="U15" s="34"/>
      <c r="V15" s="35" t="s">
        <v>73</v>
      </c>
      <c r="W15" s="17">
        <f>COUNTIF(J8:J96,"Sales")</f>
        <v>0</v>
      </c>
    </row>
    <row r="16" ht="15.75" spans="1:24">
      <c r="A16" s="30">
        <v>46255</v>
      </c>
      <c r="B16" s="24" t="s">
        <v>74</v>
      </c>
      <c r="C16" s="30">
        <v>46257</v>
      </c>
      <c r="D16" s="24">
        <v>11</v>
      </c>
      <c r="E16" s="24" t="s">
        <v>51</v>
      </c>
      <c r="F16" s="24" t="s">
        <v>41</v>
      </c>
      <c r="G16" s="25" t="s">
        <v>75</v>
      </c>
      <c r="H16" s="31" t="s">
        <v>53</v>
      </c>
      <c r="I16" s="31" t="s">
        <v>44</v>
      </c>
      <c r="J16" s="31" t="s">
        <v>45</v>
      </c>
      <c r="K16" s="28"/>
      <c r="L16" s="27" t="str">
        <f ca="1">IF(C16="","",IF(K16="",IF(TODAY()&gt;C16,"Overdue","Pending"),IF(K16&lt;=C16,"On Time","Late")))</f>
        <v>Pending</v>
      </c>
      <c r="M16" s="27" t="str">
        <f ca="1">IF(C16="","",IF(K16&lt;&gt;"","Completed",IF(C16=TODAY(),"Due Today",IF(C16&gt;TODAY(),C16-TODAY()&amp;" days remaining",TODAY()-C16&amp;" days overdue"))))</f>
        <v>2 days remaining</v>
      </c>
    </row>
    <row r="17" ht="15.75" spans="1:23">
      <c r="A17" s="30">
        <v>46254</v>
      </c>
      <c r="B17" s="24" t="s">
        <v>76</v>
      </c>
      <c r="C17" s="30">
        <v>46256</v>
      </c>
      <c r="D17" s="24">
        <v>8</v>
      </c>
      <c r="E17" s="24" t="s">
        <v>57</v>
      </c>
      <c r="F17" s="24" t="s">
        <v>57</v>
      </c>
      <c r="G17" s="25" t="s">
        <v>77</v>
      </c>
      <c r="H17" s="31" t="s">
        <v>53</v>
      </c>
      <c r="I17" s="31" t="s">
        <v>44</v>
      </c>
      <c r="J17" s="31" t="s">
        <v>78</v>
      </c>
      <c r="K17" s="28"/>
      <c r="L17" s="27" t="str">
        <f ca="1">IF(C17="","",IF(K17="",IF(TODAY()&gt;C17,"Overdue","Pending"),IF(K17&lt;=C17,"On Time","Late")))</f>
        <v>Pending</v>
      </c>
      <c r="M17" s="27" t="str">
        <f ca="1">IF(C17="","",IF(K17&lt;&gt;"","Completed",IF(C17=TODAY(),"Due Today",IF(C17&gt;TODAY(),C17-TODAY()&amp;" days remaining",TODAY()-C17&amp;" days overdue"))))</f>
        <v>1 days remaining</v>
      </c>
      <c r="V17" s="32" t="s">
        <v>79</v>
      </c>
      <c r="W17" s="32" t="s">
        <v>8</v>
      </c>
    </row>
    <row r="18" ht="15.75" spans="1:23">
      <c r="A18" s="24"/>
      <c r="B18" s="24"/>
      <c r="C18" s="24"/>
      <c r="D18" s="24"/>
      <c r="E18" s="24"/>
      <c r="F18" s="24"/>
      <c r="G18" s="25"/>
      <c r="H18" s="31"/>
      <c r="I18" s="31"/>
      <c r="J18" s="31"/>
      <c r="K18" s="28"/>
      <c r="L18" s="27" t="str">
        <f ca="1">IF(C18="","",IF(K18="",IF(TODAY()&gt;C18,"Overdue","Pending"),IF(K18&lt;=C18,"On Time","Late")))</f>
        <v/>
      </c>
      <c r="M18" s="27" t="str">
        <f ca="1">IF(C18="","",IF(K18&lt;&gt;"","Completed",IF(C18=TODAY(),"Due Today",IF(C18&gt;TODAY(),C18-TODAY()&amp;" days remaining",TODAY()-C18&amp;" days overdue"))))</f>
        <v/>
      </c>
      <c r="V18" s="35" t="s">
        <v>80</v>
      </c>
      <c r="W18" s="17">
        <f>COUNTIF(I8:I100,"YES")</f>
        <v>7</v>
      </c>
    </row>
    <row r="19" ht="15.75" spans="1:23">
      <c r="A19" s="24"/>
      <c r="B19" s="24"/>
      <c r="C19" s="24"/>
      <c r="D19" s="24"/>
      <c r="E19" s="24"/>
      <c r="F19" s="24"/>
      <c r="G19" s="25"/>
      <c r="H19" s="31"/>
      <c r="I19" s="31"/>
      <c r="J19" s="31"/>
      <c r="K19" s="28"/>
      <c r="L19" s="27" t="str">
        <f ca="1">IF(C19="","",IF(K19="",IF(TODAY()&gt;C19,"Overdue","Pending"),IF(K19&lt;=C19,"On Time","Late")))</f>
        <v/>
      </c>
      <c r="M19" s="27" t="str">
        <f ca="1">IF(C19="","",IF(K19&lt;&gt;"","Completed",IF(C19=TODAY(),"Due Today",IF(C19&gt;TODAY(),C19-TODAY()&amp;" days remaining",TODAY()-C19&amp;" days overdue"))))</f>
        <v/>
      </c>
      <c r="V19" s="35" t="s">
        <v>81</v>
      </c>
      <c r="W19" s="17">
        <f>COUNTIF(I8:I100,"NO")</f>
        <v>3</v>
      </c>
    </row>
    <row r="20" ht="15.75" spans="1:23">
      <c r="A20" s="24"/>
      <c r="B20" s="24"/>
      <c r="C20" s="24"/>
      <c r="D20" s="24"/>
      <c r="E20" s="24"/>
      <c r="F20" s="24"/>
      <c r="G20" s="25"/>
      <c r="H20" s="31"/>
      <c r="I20" s="31"/>
      <c r="J20" s="31"/>
      <c r="K20" s="28"/>
      <c r="L20" s="27" t="str">
        <f ca="1" t="shared" ref="L20:L67" si="0">IF(C20="","",IF(K20="",IF(TODAY()&gt;C20,"Overdue","Pending"),IF(K20&lt;=C20,"On Time","Late")))</f>
        <v/>
      </c>
      <c r="M20" s="27" t="str">
        <f ca="1" t="shared" ref="M20:M67" si="1">IF(C20="","",IF(K20&lt;&gt;"","Completed",IF(C20=TODAY(),"Due Today",IF(C20&gt;TODAY(),C20-TODAY()&amp;" days remaining",TODAY()-C20&amp;" days overdue"))))</f>
        <v/>
      </c>
    </row>
    <row r="21" ht="15.75" spans="1:23">
      <c r="A21" s="24"/>
      <c r="B21" s="24"/>
      <c r="C21" s="24"/>
      <c r="D21" s="24"/>
      <c r="E21" s="24"/>
      <c r="F21" s="24"/>
      <c r="G21" s="25"/>
      <c r="H21" s="31"/>
      <c r="I21" s="31"/>
      <c r="J21" s="31"/>
      <c r="K21" s="28"/>
      <c r="L21" s="27" t="str">
        <f ca="1" t="shared" si="0"/>
        <v/>
      </c>
      <c r="M21" s="27" t="str">
        <f ca="1" t="shared" si="1"/>
        <v/>
      </c>
    </row>
    <row r="22" ht="15.75" spans="1:23">
      <c r="A22" s="24"/>
      <c r="B22" s="24"/>
      <c r="C22" s="24"/>
      <c r="D22" s="24"/>
      <c r="E22" s="24"/>
      <c r="F22" s="24"/>
      <c r="G22" s="25"/>
      <c r="H22" s="31"/>
      <c r="I22" s="31"/>
      <c r="J22" s="31"/>
      <c r="K22" s="28"/>
      <c r="L22" s="27" t="str">
        <f ca="1" t="shared" si="0"/>
        <v/>
      </c>
      <c r="M22" s="27" t="str">
        <f ca="1" t="shared" si="1"/>
        <v/>
      </c>
    </row>
    <row r="23" ht="15.75" spans="1:23">
      <c r="A23" s="24"/>
      <c r="B23" s="24"/>
      <c r="C23" s="24"/>
      <c r="D23" s="24"/>
      <c r="E23" s="24"/>
      <c r="F23" s="24"/>
      <c r="G23" s="25"/>
      <c r="H23" s="31"/>
      <c r="I23" s="31"/>
      <c r="J23" s="31"/>
      <c r="K23" s="28"/>
      <c r="L23" s="27" t="str">
        <f ca="1" t="shared" si="0"/>
        <v/>
      </c>
      <c r="M23" s="27" t="str">
        <f ca="1" t="shared" si="1"/>
        <v/>
      </c>
    </row>
    <row r="24" ht="15.75" spans="1:23">
      <c r="A24" s="24"/>
      <c r="B24" s="24"/>
      <c r="C24" s="24"/>
      <c r="D24" s="24"/>
      <c r="E24" s="24"/>
      <c r="F24" s="24"/>
      <c r="G24" s="25"/>
      <c r="H24" s="31"/>
      <c r="I24" s="31"/>
      <c r="J24" s="31"/>
      <c r="K24" s="28"/>
      <c r="L24" s="27" t="str">
        <f ca="1" t="shared" si="0"/>
        <v/>
      </c>
      <c r="M24" s="27" t="str">
        <f ca="1" t="shared" si="1"/>
        <v/>
      </c>
    </row>
    <row r="25" ht="15.75" spans="1:23">
      <c r="A25" s="24"/>
      <c r="B25" s="24"/>
      <c r="C25" s="24"/>
      <c r="D25" s="24"/>
      <c r="E25" s="24"/>
      <c r="F25" s="24"/>
      <c r="G25" s="25"/>
      <c r="H25" s="31"/>
      <c r="I25" s="31"/>
      <c r="J25" s="31"/>
      <c r="K25" s="28"/>
      <c r="L25" s="27" t="str">
        <f ca="1" t="shared" si="0"/>
        <v/>
      </c>
      <c r="M25" s="27" t="str">
        <f ca="1" t="shared" si="1"/>
        <v/>
      </c>
    </row>
    <row r="26" ht="15.75" spans="1:23">
      <c r="A26" s="24"/>
      <c r="B26" s="24"/>
      <c r="C26" s="24"/>
      <c r="D26" s="24"/>
      <c r="E26" s="24"/>
      <c r="F26" s="24"/>
      <c r="G26" s="25"/>
      <c r="H26" s="31"/>
      <c r="I26" s="31"/>
      <c r="J26" s="31"/>
      <c r="K26" s="28"/>
      <c r="L26" s="27" t="str">
        <f ca="1" t="shared" si="0"/>
        <v/>
      </c>
      <c r="M26" s="27" t="str">
        <f ca="1" t="shared" si="1"/>
        <v/>
      </c>
    </row>
    <row r="27" ht="15.75" spans="1:23">
      <c r="A27" s="24"/>
      <c r="B27" s="24"/>
      <c r="C27" s="24"/>
      <c r="D27" s="24"/>
      <c r="E27" s="24"/>
      <c r="F27" s="24"/>
      <c r="G27" s="25"/>
      <c r="H27" s="31"/>
      <c r="I27" s="31"/>
      <c r="J27" s="31"/>
      <c r="K27" s="28"/>
      <c r="L27" s="27" t="str">
        <f ca="1" t="shared" si="0"/>
        <v/>
      </c>
      <c r="M27" s="27" t="str">
        <f ca="1" t="shared" si="1"/>
        <v/>
      </c>
    </row>
    <row r="28" ht="15.75" spans="1:23">
      <c r="A28" s="24"/>
      <c r="B28" s="24"/>
      <c r="C28" s="24"/>
      <c r="D28" s="24"/>
      <c r="E28" s="24"/>
      <c r="F28" s="24"/>
      <c r="G28" s="25"/>
      <c r="H28" s="31"/>
      <c r="I28" s="31"/>
      <c r="J28" s="31"/>
      <c r="K28" s="28"/>
      <c r="L28" s="27" t="str">
        <f ca="1" t="shared" si="0"/>
        <v/>
      </c>
      <c r="M28" s="27" t="str">
        <f ca="1" t="shared" si="1"/>
        <v/>
      </c>
    </row>
    <row r="29" ht="15.75" spans="1:23">
      <c r="A29" s="24"/>
      <c r="B29" s="24"/>
      <c r="C29" s="24"/>
      <c r="D29" s="24"/>
      <c r="E29" s="24"/>
      <c r="F29" s="24"/>
      <c r="G29" s="25"/>
      <c r="H29" s="31"/>
      <c r="I29" s="31"/>
      <c r="J29" s="31"/>
      <c r="K29" s="28"/>
      <c r="L29" s="27" t="str">
        <f ca="1" t="shared" si="0"/>
        <v/>
      </c>
      <c r="M29" s="27" t="str">
        <f ca="1" t="shared" si="1"/>
        <v/>
      </c>
    </row>
    <row r="30" ht="15.75" spans="1:23">
      <c r="A30" s="24"/>
      <c r="B30" s="24"/>
      <c r="C30" s="24"/>
      <c r="D30" s="24"/>
      <c r="E30" s="24"/>
      <c r="F30" s="24"/>
      <c r="G30" s="25"/>
      <c r="H30" s="31"/>
      <c r="I30" s="31"/>
      <c r="J30" s="31"/>
      <c r="K30" s="28"/>
      <c r="L30" s="27" t="str">
        <f ca="1" t="shared" si="0"/>
        <v/>
      </c>
      <c r="M30" s="27" t="str">
        <f ca="1" t="shared" si="1"/>
        <v/>
      </c>
    </row>
    <row r="31" ht="15.75" spans="1:23">
      <c r="A31" s="24"/>
      <c r="B31" s="24"/>
      <c r="C31" s="24"/>
      <c r="D31" s="24"/>
      <c r="E31" s="24"/>
      <c r="F31" s="24"/>
      <c r="G31" s="25"/>
      <c r="H31" s="31"/>
      <c r="I31" s="31"/>
      <c r="J31" s="31"/>
      <c r="K31" s="28"/>
      <c r="L31" s="27" t="str">
        <f ca="1" t="shared" si="0"/>
        <v/>
      </c>
      <c r="M31" s="27" t="str">
        <f ca="1" t="shared" si="1"/>
        <v/>
      </c>
    </row>
    <row r="32" ht="15.75" spans="1:23">
      <c r="A32" s="24"/>
      <c r="B32" s="24"/>
      <c r="C32" s="24"/>
      <c r="D32" s="24"/>
      <c r="E32" s="24"/>
      <c r="F32" s="24"/>
      <c r="G32" s="25"/>
      <c r="H32" s="31"/>
      <c r="I32" s="31"/>
      <c r="J32" s="31"/>
      <c r="K32" s="28"/>
      <c r="L32" s="27" t="str">
        <f ca="1" t="shared" si="0"/>
        <v/>
      </c>
      <c r="M32" s="27" t="str">
        <f ca="1" t="shared" si="1"/>
        <v/>
      </c>
    </row>
    <row r="33" ht="15.75" spans="1:13">
      <c r="A33" s="24"/>
      <c r="B33" s="24"/>
      <c r="C33" s="24"/>
      <c r="D33" s="24"/>
      <c r="E33" s="24"/>
      <c r="F33" s="24"/>
      <c r="G33" s="25"/>
      <c r="H33" s="31"/>
      <c r="I33" s="31"/>
      <c r="J33" s="31"/>
      <c r="K33" s="28"/>
      <c r="L33" s="27" t="str">
        <f ca="1" t="shared" si="0"/>
        <v/>
      </c>
      <c r="M33" s="27" t="str">
        <f ca="1" t="shared" si="1"/>
        <v/>
      </c>
    </row>
    <row r="34" ht="15.75" spans="1:13">
      <c r="A34" s="24"/>
      <c r="B34" s="24"/>
      <c r="C34" s="24"/>
      <c r="D34" s="24"/>
      <c r="E34" s="24"/>
      <c r="F34" s="24"/>
      <c r="G34" s="25"/>
      <c r="H34" s="31"/>
      <c r="I34" s="31"/>
      <c r="J34" s="31"/>
      <c r="K34" s="28"/>
      <c r="L34" s="27" t="str">
        <f ca="1" t="shared" si="0"/>
        <v/>
      </c>
      <c r="M34" s="27" t="str">
        <f ca="1" t="shared" si="1"/>
        <v/>
      </c>
    </row>
    <row r="35" ht="15.75" spans="1:13">
      <c r="A35" s="24"/>
      <c r="B35" s="24"/>
      <c r="C35" s="24"/>
      <c r="D35" s="24"/>
      <c r="E35" s="24"/>
      <c r="F35" s="24"/>
      <c r="G35" s="25"/>
      <c r="H35" s="31"/>
      <c r="I35" s="31"/>
      <c r="J35" s="31"/>
      <c r="K35" s="28"/>
      <c r="L35" s="27" t="str">
        <f ca="1" t="shared" si="0"/>
        <v/>
      </c>
      <c r="M35" s="27" t="str">
        <f ca="1" t="shared" si="1"/>
        <v/>
      </c>
    </row>
    <row r="36" ht="15.75" spans="1:13">
      <c r="A36" s="24"/>
      <c r="B36" s="24"/>
      <c r="C36" s="24"/>
      <c r="D36" s="24"/>
      <c r="E36" s="24"/>
      <c r="F36" s="24"/>
      <c r="G36" s="25"/>
      <c r="H36" s="31"/>
      <c r="I36" s="31"/>
      <c r="J36" s="31"/>
      <c r="K36" s="28"/>
      <c r="L36" s="27" t="str">
        <f ca="1" t="shared" si="0"/>
        <v/>
      </c>
      <c r="M36" s="27" t="str">
        <f ca="1" t="shared" si="1"/>
        <v/>
      </c>
    </row>
    <row r="37" ht="15.75" spans="1:13">
      <c r="A37" s="24"/>
      <c r="B37" s="24"/>
      <c r="C37" s="24"/>
      <c r="D37" s="24"/>
      <c r="E37" s="24"/>
      <c r="F37" s="24"/>
      <c r="G37" s="25"/>
      <c r="H37" s="31"/>
      <c r="I37" s="31"/>
      <c r="J37" s="31"/>
      <c r="K37" s="28"/>
      <c r="L37" s="27" t="str">
        <f ca="1" t="shared" si="0"/>
        <v/>
      </c>
      <c r="M37" s="27" t="str">
        <f ca="1" t="shared" si="1"/>
        <v/>
      </c>
    </row>
    <row r="38" ht="15.75" spans="1:13">
      <c r="A38" s="24"/>
      <c r="B38" s="24"/>
      <c r="C38" s="24"/>
      <c r="D38" s="24"/>
      <c r="E38" s="24"/>
      <c r="F38" s="24"/>
      <c r="G38" s="25"/>
      <c r="H38" s="31"/>
      <c r="I38" s="31"/>
      <c r="J38" s="31"/>
      <c r="K38" s="28"/>
      <c r="L38" s="27" t="str">
        <f ca="1" t="shared" si="0"/>
        <v/>
      </c>
      <c r="M38" s="27" t="str">
        <f ca="1" t="shared" si="1"/>
        <v/>
      </c>
    </row>
    <row r="39" ht="15.75" spans="1:13">
      <c r="A39" s="24"/>
      <c r="B39" s="24"/>
      <c r="C39" s="24"/>
      <c r="D39" s="24"/>
      <c r="E39" s="24"/>
      <c r="F39" s="24"/>
      <c r="G39" s="25"/>
      <c r="H39" s="31"/>
      <c r="I39" s="31"/>
      <c r="J39" s="31"/>
      <c r="K39" s="28"/>
      <c r="L39" s="27" t="str">
        <f ca="1" t="shared" si="0"/>
        <v/>
      </c>
      <c r="M39" s="27" t="str">
        <f ca="1" t="shared" si="1"/>
        <v/>
      </c>
    </row>
    <row r="40" ht="15.75" spans="1:13">
      <c r="A40" s="24"/>
      <c r="B40" s="24"/>
      <c r="C40" s="24"/>
      <c r="D40" s="24"/>
      <c r="E40" s="24"/>
      <c r="F40" s="24"/>
      <c r="G40" s="25"/>
      <c r="H40" s="31"/>
      <c r="I40" s="31"/>
      <c r="J40" s="31"/>
      <c r="K40" s="28"/>
      <c r="L40" s="27" t="str">
        <f ca="1" t="shared" si="0"/>
        <v/>
      </c>
      <c r="M40" s="27" t="str">
        <f ca="1" t="shared" si="1"/>
        <v/>
      </c>
    </row>
    <row r="41" ht="15.75" spans="1:13">
      <c r="A41" s="24"/>
      <c r="B41" s="24"/>
      <c r="C41" s="24"/>
      <c r="D41" s="24"/>
      <c r="E41" s="24"/>
      <c r="F41" s="24"/>
      <c r="G41" s="25"/>
      <c r="H41" s="31"/>
      <c r="I41" s="31"/>
      <c r="J41" s="31"/>
      <c r="K41" s="28"/>
      <c r="L41" s="27" t="str">
        <f ca="1" t="shared" si="0"/>
        <v/>
      </c>
      <c r="M41" s="27" t="str">
        <f ca="1" t="shared" si="1"/>
        <v/>
      </c>
    </row>
    <row r="42" ht="15.75" spans="1:13">
      <c r="A42" s="24"/>
      <c r="B42" s="24"/>
      <c r="C42" s="24"/>
      <c r="D42" s="24"/>
      <c r="E42" s="24"/>
      <c r="F42" s="24"/>
      <c r="G42" s="25"/>
      <c r="H42" s="31"/>
      <c r="I42" s="31"/>
      <c r="J42" s="31"/>
      <c r="K42" s="28"/>
      <c r="L42" s="27" t="str">
        <f ca="1" t="shared" si="0"/>
        <v/>
      </c>
      <c r="M42" s="27" t="str">
        <f ca="1" t="shared" si="1"/>
        <v/>
      </c>
    </row>
    <row r="43" ht="15.75" spans="1:13">
      <c r="A43" s="24"/>
      <c r="B43" s="24"/>
      <c r="C43" s="24"/>
      <c r="D43" s="24"/>
      <c r="E43" s="24"/>
      <c r="F43" s="24"/>
      <c r="G43" s="25"/>
      <c r="H43" s="31"/>
      <c r="I43" s="31"/>
      <c r="J43" s="31"/>
      <c r="K43" s="28"/>
      <c r="L43" s="27" t="str">
        <f ca="1" t="shared" si="0"/>
        <v/>
      </c>
      <c r="M43" s="27" t="str">
        <f ca="1" t="shared" si="1"/>
        <v/>
      </c>
    </row>
    <row r="44" ht="15.75" spans="1:13">
      <c r="A44" s="24"/>
      <c r="B44" s="24"/>
      <c r="C44" s="24"/>
      <c r="D44" s="24"/>
      <c r="E44" s="24"/>
      <c r="F44" s="24"/>
      <c r="G44" s="25"/>
      <c r="H44" s="31"/>
      <c r="I44" s="31"/>
      <c r="J44" s="31"/>
      <c r="K44" s="28"/>
      <c r="L44" s="27" t="str">
        <f ca="1" t="shared" si="0"/>
        <v/>
      </c>
      <c r="M44" s="27" t="str">
        <f ca="1" t="shared" si="1"/>
        <v/>
      </c>
    </row>
    <row r="45" ht="15.75" spans="1:13">
      <c r="A45" s="24"/>
      <c r="B45" s="24"/>
      <c r="C45" s="24"/>
      <c r="D45" s="24"/>
      <c r="E45" s="24"/>
      <c r="F45" s="24"/>
      <c r="G45" s="25"/>
      <c r="H45" s="31"/>
      <c r="I45" s="31"/>
      <c r="J45" s="31"/>
      <c r="K45" s="28"/>
      <c r="L45" s="27" t="str">
        <f ca="1" t="shared" si="0"/>
        <v/>
      </c>
      <c r="M45" s="27" t="str">
        <f ca="1" t="shared" si="1"/>
        <v/>
      </c>
    </row>
    <row r="46" ht="15.75" spans="1:13">
      <c r="A46" s="24"/>
      <c r="B46" s="24"/>
      <c r="C46" s="24"/>
      <c r="D46" s="24"/>
      <c r="E46" s="24"/>
      <c r="F46" s="24"/>
      <c r="G46" s="25"/>
      <c r="H46" s="31"/>
      <c r="I46" s="31"/>
      <c r="J46" s="31"/>
      <c r="K46" s="28"/>
      <c r="L46" s="27" t="str">
        <f ca="1" t="shared" si="0"/>
        <v/>
      </c>
      <c r="M46" s="27" t="str">
        <f ca="1" t="shared" si="1"/>
        <v/>
      </c>
    </row>
    <row r="47" ht="15.75" spans="1:13">
      <c r="A47" s="24"/>
      <c r="B47" s="24"/>
      <c r="C47" s="24"/>
      <c r="D47" s="24"/>
      <c r="E47" s="24"/>
      <c r="F47" s="24"/>
      <c r="G47" s="25"/>
      <c r="H47" s="31"/>
      <c r="I47" s="31"/>
      <c r="J47" s="31"/>
      <c r="K47" s="28"/>
      <c r="L47" s="27" t="str">
        <f ca="1" t="shared" si="0"/>
        <v/>
      </c>
      <c r="M47" s="27" t="str">
        <f ca="1" t="shared" si="1"/>
        <v/>
      </c>
    </row>
    <row r="48" ht="15.75" spans="1:13">
      <c r="A48" s="24"/>
      <c r="B48" s="24"/>
      <c r="C48" s="24"/>
      <c r="D48" s="24"/>
      <c r="E48" s="24"/>
      <c r="F48" s="24"/>
      <c r="G48" s="25"/>
      <c r="H48" s="31"/>
      <c r="I48" s="31"/>
      <c r="J48" s="31"/>
      <c r="K48" s="28"/>
      <c r="L48" s="27" t="str">
        <f ca="1" t="shared" si="0"/>
        <v/>
      </c>
      <c r="M48" s="27" t="str">
        <f ca="1" t="shared" si="1"/>
        <v/>
      </c>
    </row>
    <row r="49" ht="15.75" spans="1:13">
      <c r="A49" s="24"/>
      <c r="B49" s="24"/>
      <c r="C49" s="24"/>
      <c r="D49" s="24"/>
      <c r="E49" s="24"/>
      <c r="F49" s="24"/>
      <c r="G49" s="25"/>
      <c r="H49" s="31"/>
      <c r="I49" s="31"/>
      <c r="J49" s="31"/>
      <c r="K49" s="28"/>
      <c r="L49" s="27" t="str">
        <f ca="1" t="shared" si="0"/>
        <v/>
      </c>
      <c r="M49" s="27" t="str">
        <f ca="1" t="shared" si="1"/>
        <v/>
      </c>
    </row>
    <row r="50" ht="15.75" spans="1:13">
      <c r="A50" s="24"/>
      <c r="B50" s="24"/>
      <c r="C50" s="24"/>
      <c r="D50" s="24"/>
      <c r="E50" s="24"/>
      <c r="F50" s="24"/>
      <c r="G50" s="25"/>
      <c r="H50" s="31"/>
      <c r="I50" s="31"/>
      <c r="J50" s="31"/>
      <c r="K50" s="28"/>
      <c r="L50" s="27" t="str">
        <f ca="1" t="shared" si="0"/>
        <v/>
      </c>
      <c r="M50" s="27" t="str">
        <f ca="1" t="shared" si="1"/>
        <v/>
      </c>
    </row>
    <row r="51" ht="15.75" spans="1:13">
      <c r="A51" s="24"/>
      <c r="B51" s="24"/>
      <c r="C51" s="24"/>
      <c r="D51" s="24"/>
      <c r="E51" s="24"/>
      <c r="F51" s="24"/>
      <c r="G51" s="25"/>
      <c r="H51" s="31"/>
      <c r="I51" s="31"/>
      <c r="J51" s="31"/>
      <c r="K51" s="28"/>
      <c r="L51" s="27" t="str">
        <f ca="1" t="shared" si="0"/>
        <v/>
      </c>
      <c r="M51" s="27" t="str">
        <f ca="1" t="shared" si="1"/>
        <v/>
      </c>
    </row>
    <row r="52" ht="15.75" spans="1:13">
      <c r="A52" s="24"/>
      <c r="B52" s="24"/>
      <c r="C52" s="24"/>
      <c r="D52" s="24"/>
      <c r="E52" s="24"/>
      <c r="F52" s="24"/>
      <c r="G52" s="25"/>
      <c r="H52" s="31"/>
      <c r="I52" s="31"/>
      <c r="J52" s="31"/>
      <c r="K52" s="28"/>
      <c r="L52" s="27" t="str">
        <f ca="1" t="shared" si="0"/>
        <v/>
      </c>
      <c r="M52" s="27" t="str">
        <f ca="1" t="shared" si="1"/>
        <v/>
      </c>
    </row>
    <row r="53" ht="15.75" spans="1:13">
      <c r="A53" s="24"/>
      <c r="B53" s="24"/>
      <c r="C53" s="24"/>
      <c r="D53" s="24"/>
      <c r="E53" s="24"/>
      <c r="F53" s="24"/>
      <c r="G53" s="25"/>
      <c r="H53" s="31"/>
      <c r="I53" s="31"/>
      <c r="J53" s="31"/>
      <c r="K53" s="28"/>
      <c r="L53" s="27" t="str">
        <f ca="1" t="shared" si="0"/>
        <v/>
      </c>
      <c r="M53" s="27" t="str">
        <f ca="1" t="shared" si="1"/>
        <v/>
      </c>
    </row>
    <row r="54" ht="15.75" spans="1:13">
      <c r="A54" s="24"/>
      <c r="B54" s="24"/>
      <c r="C54" s="24"/>
      <c r="D54" s="24"/>
      <c r="E54" s="24"/>
      <c r="F54" s="24"/>
      <c r="G54" s="25"/>
      <c r="H54" s="31"/>
      <c r="I54" s="31"/>
      <c r="J54" s="31"/>
      <c r="K54" s="28"/>
      <c r="L54" s="27" t="str">
        <f ca="1" t="shared" si="0"/>
        <v/>
      </c>
      <c r="M54" s="27" t="str">
        <f ca="1" t="shared" si="1"/>
        <v/>
      </c>
    </row>
    <row r="55" ht="15.75" spans="1:13">
      <c r="A55" s="24"/>
      <c r="B55" s="24"/>
      <c r="C55" s="24"/>
      <c r="D55" s="24"/>
      <c r="E55" s="24"/>
      <c r="F55" s="24"/>
      <c r="G55" s="25"/>
      <c r="H55" s="31"/>
      <c r="I55" s="31"/>
      <c r="J55" s="31"/>
      <c r="K55" s="28"/>
      <c r="L55" s="27" t="str">
        <f ca="1" t="shared" si="0"/>
        <v/>
      </c>
      <c r="M55" s="27" t="str">
        <f ca="1" t="shared" si="1"/>
        <v/>
      </c>
    </row>
    <row r="56" ht="15.75" spans="1:13">
      <c r="A56" s="24"/>
      <c r="B56" s="24"/>
      <c r="C56" s="24"/>
      <c r="D56" s="24"/>
      <c r="E56" s="24"/>
      <c r="F56" s="24"/>
      <c r="G56" s="25"/>
      <c r="H56" s="31"/>
      <c r="I56" s="31"/>
      <c r="J56" s="31"/>
      <c r="K56" s="28"/>
      <c r="L56" s="27" t="str">
        <f ca="1" t="shared" si="0"/>
        <v/>
      </c>
      <c r="M56" s="27" t="str">
        <f ca="1" t="shared" si="1"/>
        <v/>
      </c>
    </row>
    <row r="57" ht="15.75" spans="1:13">
      <c r="A57" s="24"/>
      <c r="B57" s="24"/>
      <c r="C57" s="24"/>
      <c r="D57" s="24"/>
      <c r="E57" s="24"/>
      <c r="F57" s="24"/>
      <c r="G57" s="25"/>
      <c r="H57" s="31"/>
      <c r="I57" s="31"/>
      <c r="J57" s="31"/>
      <c r="K57" s="28"/>
      <c r="L57" s="27" t="str">
        <f ca="1" t="shared" si="0"/>
        <v/>
      </c>
      <c r="M57" s="27" t="str">
        <f ca="1" t="shared" si="1"/>
        <v/>
      </c>
    </row>
    <row r="58" ht="15.75" spans="1:13">
      <c r="A58" s="24"/>
      <c r="B58" s="24"/>
      <c r="C58" s="24"/>
      <c r="D58" s="24"/>
      <c r="E58" s="24"/>
      <c r="F58" s="24"/>
      <c r="G58" s="25"/>
      <c r="H58" s="31"/>
      <c r="I58" s="31"/>
      <c r="J58" s="31"/>
      <c r="K58" s="28"/>
      <c r="L58" s="27" t="str">
        <f ca="1" t="shared" si="0"/>
        <v/>
      </c>
      <c r="M58" s="27" t="str">
        <f ca="1" t="shared" si="1"/>
        <v/>
      </c>
    </row>
    <row r="59" ht="15.75" spans="1:13">
      <c r="A59" s="24"/>
      <c r="B59" s="24"/>
      <c r="C59" s="24"/>
      <c r="D59" s="24"/>
      <c r="E59" s="24"/>
      <c r="F59" s="24"/>
      <c r="G59" s="25"/>
      <c r="H59" s="31"/>
      <c r="I59" s="31"/>
      <c r="J59" s="31"/>
      <c r="K59" s="28"/>
      <c r="L59" s="27" t="str">
        <f ca="1" t="shared" si="0"/>
        <v/>
      </c>
      <c r="M59" s="27" t="str">
        <f ca="1" t="shared" si="1"/>
        <v/>
      </c>
    </row>
    <row r="60" ht="15.75" spans="1:13">
      <c r="A60" s="24"/>
      <c r="B60" s="24"/>
      <c r="C60" s="24"/>
      <c r="D60" s="24"/>
      <c r="E60" s="24"/>
      <c r="F60" s="24"/>
      <c r="G60" s="25"/>
      <c r="H60" s="31"/>
      <c r="I60" s="31"/>
      <c r="J60" s="31"/>
      <c r="K60" s="28"/>
      <c r="L60" s="27" t="str">
        <f ca="1" t="shared" si="0"/>
        <v/>
      </c>
      <c r="M60" s="27" t="str">
        <f ca="1" t="shared" si="1"/>
        <v/>
      </c>
    </row>
    <row r="61" ht="15.75" spans="1:13">
      <c r="A61" s="24"/>
      <c r="B61" s="24"/>
      <c r="C61" s="24"/>
      <c r="D61" s="24"/>
      <c r="E61" s="24"/>
      <c r="F61" s="24"/>
      <c r="G61" s="25"/>
      <c r="H61" s="31"/>
      <c r="I61" s="31"/>
      <c r="J61" s="31"/>
      <c r="K61" s="28"/>
      <c r="L61" s="27" t="str">
        <f ca="1" t="shared" si="0"/>
        <v/>
      </c>
      <c r="M61" s="27" t="str">
        <f ca="1" t="shared" si="1"/>
        <v/>
      </c>
    </row>
    <row r="62" ht="15.75" spans="1:13">
      <c r="A62" s="24"/>
      <c r="B62" s="24"/>
      <c r="C62" s="24"/>
      <c r="D62" s="24"/>
      <c r="E62" s="24"/>
      <c r="F62" s="24"/>
      <c r="G62" s="25"/>
      <c r="H62" s="31"/>
      <c r="I62" s="31"/>
      <c r="J62" s="31"/>
      <c r="K62" s="28"/>
      <c r="L62" s="27" t="str">
        <f ca="1" t="shared" si="0"/>
        <v/>
      </c>
      <c r="M62" s="27" t="str">
        <f ca="1" t="shared" si="1"/>
        <v/>
      </c>
    </row>
    <row r="63" ht="15.75" spans="1:13">
      <c r="A63" s="24"/>
      <c r="B63" s="24"/>
      <c r="C63" s="24"/>
      <c r="D63" s="24"/>
      <c r="E63" s="24"/>
      <c r="F63" s="24"/>
      <c r="G63" s="25"/>
      <c r="H63" s="31"/>
      <c r="I63" s="31"/>
      <c r="J63" s="31"/>
      <c r="K63" s="28"/>
      <c r="L63" s="27" t="str">
        <f ca="1" t="shared" si="0"/>
        <v/>
      </c>
      <c r="M63" s="27" t="str">
        <f ca="1" t="shared" si="1"/>
        <v/>
      </c>
    </row>
    <row r="64" ht="15.75" spans="1:13">
      <c r="A64" s="24"/>
      <c r="B64" s="24"/>
      <c r="C64" s="24"/>
      <c r="D64" s="24"/>
      <c r="E64" s="24"/>
      <c r="F64" s="24"/>
      <c r="G64" s="25"/>
      <c r="H64" s="31"/>
      <c r="I64" s="31"/>
      <c r="J64" s="31"/>
      <c r="K64" s="28"/>
      <c r="L64" s="27" t="str">
        <f ca="1" t="shared" si="0"/>
        <v/>
      </c>
      <c r="M64" s="27" t="str">
        <f ca="1" t="shared" si="1"/>
        <v/>
      </c>
    </row>
    <row r="65" ht="15.75" spans="1:13">
      <c r="A65" s="24"/>
      <c r="B65" s="24"/>
      <c r="C65" s="24"/>
      <c r="D65" s="24"/>
      <c r="E65" s="24"/>
      <c r="F65" s="24"/>
      <c r="G65" s="25"/>
      <c r="H65" s="31"/>
      <c r="I65" s="31"/>
      <c r="J65" s="31"/>
      <c r="K65" s="28"/>
      <c r="L65" s="27" t="str">
        <f ca="1" t="shared" si="0"/>
        <v/>
      </c>
      <c r="M65" s="27" t="str">
        <f ca="1" t="shared" si="1"/>
        <v/>
      </c>
    </row>
    <row r="66" ht="15.75" spans="1:13">
      <c r="A66" s="24"/>
      <c r="B66" s="24"/>
      <c r="C66" s="24"/>
      <c r="D66" s="24"/>
      <c r="E66" s="24"/>
      <c r="F66" s="24"/>
      <c r="G66" s="25"/>
      <c r="H66" s="31"/>
      <c r="I66" s="31"/>
      <c r="J66" s="31"/>
      <c r="K66" s="28"/>
      <c r="L66" s="27" t="str">
        <f ca="1" t="shared" si="0"/>
        <v/>
      </c>
      <c r="M66" s="27" t="str">
        <f ca="1" t="shared" si="1"/>
        <v/>
      </c>
    </row>
    <row r="67" ht="15.75" spans="1:13">
      <c r="A67" s="24"/>
      <c r="B67" s="24"/>
      <c r="C67" s="24"/>
      <c r="D67" s="24"/>
      <c r="E67" s="24"/>
      <c r="F67" s="24"/>
      <c r="G67" s="25"/>
      <c r="H67" s="31"/>
      <c r="I67" s="31"/>
      <c r="J67" s="31"/>
      <c r="K67" s="28"/>
      <c r="L67" s="27" t="str">
        <f ca="1" t="shared" si="0"/>
        <v/>
      </c>
      <c r="M67" s="27" t="str">
        <f ca="1" t="shared" si="1"/>
        <v/>
      </c>
    </row>
    <row r="68" ht="15.75" spans="1:13">
      <c r="A68" s="24"/>
      <c r="B68" s="24"/>
      <c r="C68" s="24"/>
      <c r="D68" s="24"/>
      <c r="E68" s="24"/>
      <c r="F68" s="24"/>
      <c r="G68" s="25"/>
      <c r="H68" s="31"/>
      <c r="I68" s="31"/>
      <c r="J68" s="31"/>
      <c r="K68" s="28"/>
      <c r="L68" s="27" t="str">
        <f ca="1" t="shared" ref="L68:L96" si="2">IF(C68="","",IF(K68="",IF(TODAY()&gt;C68,"Overdue","Pending"),IF(K68&lt;=C68,"On Time","Late")))</f>
        <v/>
      </c>
      <c r="M68" s="27" t="str">
        <f ca="1" t="shared" ref="M68:M96" si="3">IF(C68="","",IF(K68&lt;&gt;"","Completed",IF(C68=TODAY(),"Due Today",IF(C68&gt;TODAY(),C68-TODAY()&amp;" days remaining",TODAY()-C68&amp;" days overdue"))))</f>
        <v/>
      </c>
    </row>
    <row r="69" ht="15.75" spans="1:13">
      <c r="A69" s="24"/>
      <c r="B69" s="24"/>
      <c r="C69" s="24"/>
      <c r="D69" s="24"/>
      <c r="E69" s="24"/>
      <c r="F69" s="24"/>
      <c r="G69" s="25"/>
      <c r="H69" s="31"/>
      <c r="I69" s="31"/>
      <c r="J69" s="31"/>
      <c r="K69" s="28"/>
      <c r="L69" s="27" t="str">
        <f ca="1" t="shared" si="2"/>
        <v/>
      </c>
      <c r="M69" s="27" t="str">
        <f ca="1" t="shared" si="3"/>
        <v/>
      </c>
    </row>
    <row r="70" ht="15.75" spans="1:13">
      <c r="A70" s="24"/>
      <c r="B70" s="24"/>
      <c r="C70" s="24"/>
      <c r="D70" s="24"/>
      <c r="E70" s="24"/>
      <c r="F70" s="24"/>
      <c r="G70" s="25"/>
      <c r="H70" s="31"/>
      <c r="I70" s="31"/>
      <c r="J70" s="31"/>
      <c r="K70" s="28"/>
      <c r="L70" s="27" t="str">
        <f ca="1" t="shared" si="2"/>
        <v/>
      </c>
      <c r="M70" s="27" t="str">
        <f ca="1" t="shared" si="3"/>
        <v/>
      </c>
    </row>
    <row r="71" ht="15.75" spans="1:13">
      <c r="A71" s="24"/>
      <c r="B71" s="24"/>
      <c r="C71" s="24"/>
      <c r="D71" s="24"/>
      <c r="E71" s="24"/>
      <c r="F71" s="24"/>
      <c r="G71" s="25"/>
      <c r="H71" s="31"/>
      <c r="I71" s="31"/>
      <c r="J71" s="31"/>
      <c r="K71" s="28"/>
      <c r="L71" s="27" t="str">
        <f ca="1" t="shared" si="2"/>
        <v/>
      </c>
      <c r="M71" s="27" t="str">
        <f ca="1" t="shared" si="3"/>
        <v/>
      </c>
    </row>
    <row r="72" ht="15.75" spans="1:13">
      <c r="A72" s="24"/>
      <c r="B72" s="24"/>
      <c r="C72" s="24"/>
      <c r="D72" s="24"/>
      <c r="E72" s="24"/>
      <c r="F72" s="24"/>
      <c r="G72" s="25"/>
      <c r="H72" s="31"/>
      <c r="I72" s="31"/>
      <c r="J72" s="31"/>
      <c r="K72" s="28"/>
      <c r="L72" s="27" t="str">
        <f ca="1" t="shared" si="2"/>
        <v/>
      </c>
      <c r="M72" s="27" t="str">
        <f ca="1" t="shared" si="3"/>
        <v/>
      </c>
    </row>
    <row r="73" ht="15.75" spans="1:13">
      <c r="A73" s="24"/>
      <c r="B73" s="24"/>
      <c r="C73" s="24"/>
      <c r="D73" s="24"/>
      <c r="E73" s="24"/>
      <c r="F73" s="24"/>
      <c r="G73" s="25"/>
      <c r="H73" s="31"/>
      <c r="I73" s="31"/>
      <c r="J73" s="31"/>
      <c r="K73" s="28"/>
      <c r="L73" s="27" t="str">
        <f ca="1" t="shared" si="2"/>
        <v/>
      </c>
      <c r="M73" s="27" t="str">
        <f ca="1" t="shared" si="3"/>
        <v/>
      </c>
    </row>
    <row r="74" ht="15.75" spans="1:13">
      <c r="A74" s="24"/>
      <c r="B74" s="24"/>
      <c r="C74" s="24"/>
      <c r="D74" s="24"/>
      <c r="E74" s="24"/>
      <c r="F74" s="24"/>
      <c r="G74" s="25"/>
      <c r="H74" s="31"/>
      <c r="I74" s="31"/>
      <c r="J74" s="31"/>
      <c r="K74" s="28"/>
      <c r="L74" s="27" t="str">
        <f ca="1" t="shared" si="2"/>
        <v/>
      </c>
      <c r="M74" s="27" t="str">
        <f ca="1" t="shared" si="3"/>
        <v/>
      </c>
    </row>
    <row r="75" ht="15.75" spans="1:13">
      <c r="A75" s="24"/>
      <c r="B75" s="24"/>
      <c r="C75" s="24"/>
      <c r="D75" s="24"/>
      <c r="E75" s="24"/>
      <c r="F75" s="24"/>
      <c r="G75" s="25"/>
      <c r="H75" s="31"/>
      <c r="I75" s="31"/>
      <c r="J75" s="31"/>
      <c r="K75" s="28"/>
      <c r="L75" s="27" t="str">
        <f ca="1" t="shared" si="2"/>
        <v/>
      </c>
      <c r="M75" s="27" t="str">
        <f ca="1" t="shared" si="3"/>
        <v/>
      </c>
    </row>
    <row r="76" ht="15.75" spans="1:13">
      <c r="A76" s="24"/>
      <c r="B76" s="24"/>
      <c r="C76" s="24"/>
      <c r="D76" s="24"/>
      <c r="E76" s="24"/>
      <c r="F76" s="24"/>
      <c r="G76" s="25"/>
      <c r="H76" s="31"/>
      <c r="I76" s="31"/>
      <c r="J76" s="31"/>
      <c r="K76" s="28"/>
      <c r="L76" s="27" t="str">
        <f ca="1" t="shared" si="2"/>
        <v/>
      </c>
      <c r="M76" s="27" t="str">
        <f ca="1" t="shared" si="3"/>
        <v/>
      </c>
    </row>
    <row r="77" ht="15.75" spans="1:13">
      <c r="A77" s="24"/>
      <c r="B77" s="24"/>
      <c r="C77" s="24"/>
      <c r="D77" s="24"/>
      <c r="E77" s="24"/>
      <c r="F77" s="24"/>
      <c r="G77" s="25"/>
      <c r="H77" s="31"/>
      <c r="I77" s="31"/>
      <c r="J77" s="31"/>
      <c r="K77" s="28"/>
      <c r="L77" s="27" t="str">
        <f ca="1" t="shared" si="2"/>
        <v/>
      </c>
      <c r="M77" s="27" t="str">
        <f ca="1" t="shared" si="3"/>
        <v/>
      </c>
    </row>
    <row r="78" ht="15.75" spans="1:13">
      <c r="A78" s="24"/>
      <c r="B78" s="24"/>
      <c r="C78" s="24"/>
      <c r="D78" s="24"/>
      <c r="E78" s="24"/>
      <c r="F78" s="24"/>
      <c r="G78" s="25"/>
      <c r="H78" s="31"/>
      <c r="I78" s="31"/>
      <c r="J78" s="31"/>
      <c r="K78" s="28"/>
      <c r="L78" s="27" t="str">
        <f ca="1" t="shared" si="2"/>
        <v/>
      </c>
      <c r="M78" s="27" t="str">
        <f ca="1" t="shared" si="3"/>
        <v/>
      </c>
    </row>
    <row r="79" ht="15.75" spans="1:13">
      <c r="A79" s="24"/>
      <c r="B79" s="24"/>
      <c r="C79" s="24"/>
      <c r="D79" s="24"/>
      <c r="E79" s="24"/>
      <c r="F79" s="24"/>
      <c r="G79" s="25"/>
      <c r="H79" s="31"/>
      <c r="I79" s="31"/>
      <c r="J79" s="31"/>
      <c r="K79" s="28"/>
      <c r="L79" s="27" t="str">
        <f ca="1" t="shared" si="2"/>
        <v/>
      </c>
      <c r="M79" s="27" t="str">
        <f ca="1" t="shared" si="3"/>
        <v/>
      </c>
    </row>
    <row r="80" ht="15.75" spans="1:13">
      <c r="A80" s="24"/>
      <c r="B80" s="24"/>
      <c r="C80" s="24"/>
      <c r="D80" s="24"/>
      <c r="E80" s="24"/>
      <c r="F80" s="24"/>
      <c r="G80" s="25"/>
      <c r="H80" s="31"/>
      <c r="I80" s="31"/>
      <c r="J80" s="31"/>
      <c r="K80" s="28"/>
      <c r="L80" s="27" t="str">
        <f ca="1" t="shared" si="2"/>
        <v/>
      </c>
      <c r="M80" s="27" t="str">
        <f ca="1" t="shared" si="3"/>
        <v/>
      </c>
    </row>
    <row r="81" ht="15.75" spans="1:13">
      <c r="A81" s="24"/>
      <c r="B81" s="24"/>
      <c r="C81" s="24"/>
      <c r="D81" s="24"/>
      <c r="E81" s="24"/>
      <c r="F81" s="24"/>
      <c r="G81" s="25"/>
      <c r="H81" s="31"/>
      <c r="I81" s="31"/>
      <c r="J81" s="31"/>
      <c r="K81" s="28"/>
      <c r="L81" s="27" t="str">
        <f ca="1" t="shared" si="2"/>
        <v/>
      </c>
      <c r="M81" s="27" t="str">
        <f ca="1" t="shared" si="3"/>
        <v/>
      </c>
    </row>
    <row r="82" ht="15.75" spans="1:13">
      <c r="A82" s="24"/>
      <c r="B82" s="24"/>
      <c r="C82" s="24"/>
      <c r="D82" s="24"/>
      <c r="E82" s="24"/>
      <c r="F82" s="24"/>
      <c r="G82" s="25"/>
      <c r="H82" s="31"/>
      <c r="I82" s="31"/>
      <c r="J82" s="31"/>
      <c r="K82" s="28"/>
      <c r="L82" s="27" t="str">
        <f ca="1" t="shared" si="2"/>
        <v/>
      </c>
      <c r="M82" s="27" t="str">
        <f ca="1" t="shared" si="3"/>
        <v/>
      </c>
    </row>
    <row r="83" ht="15.75" spans="1:13">
      <c r="A83" s="24"/>
      <c r="B83" s="24"/>
      <c r="C83" s="24"/>
      <c r="D83" s="24"/>
      <c r="E83" s="24"/>
      <c r="F83" s="24"/>
      <c r="G83" s="25"/>
      <c r="H83" s="31"/>
      <c r="I83" s="31"/>
      <c r="J83" s="31"/>
      <c r="K83" s="28"/>
      <c r="L83" s="27" t="str">
        <f ca="1" t="shared" si="2"/>
        <v/>
      </c>
      <c r="M83" s="27" t="str">
        <f ca="1" t="shared" si="3"/>
        <v/>
      </c>
    </row>
    <row r="84" ht="15.75" spans="1:13">
      <c r="A84" s="24"/>
      <c r="B84" s="24"/>
      <c r="C84" s="24"/>
      <c r="D84" s="24"/>
      <c r="E84" s="24"/>
      <c r="F84" s="24"/>
      <c r="G84" s="25"/>
      <c r="H84" s="31"/>
      <c r="I84" s="31"/>
      <c r="J84" s="31"/>
      <c r="K84" s="28"/>
      <c r="L84" s="27" t="str">
        <f ca="1" t="shared" si="2"/>
        <v/>
      </c>
      <c r="M84" s="27" t="str">
        <f ca="1" t="shared" si="3"/>
        <v/>
      </c>
    </row>
    <row r="85" ht="15.75" spans="1:13">
      <c r="A85" s="24"/>
      <c r="B85" s="24"/>
      <c r="C85" s="24"/>
      <c r="D85" s="24"/>
      <c r="E85" s="24"/>
      <c r="F85" s="24"/>
      <c r="G85" s="25"/>
      <c r="H85" s="31"/>
      <c r="I85" s="31"/>
      <c r="J85" s="31"/>
      <c r="K85" s="28"/>
      <c r="L85" s="27" t="str">
        <f ca="1" t="shared" si="2"/>
        <v/>
      </c>
      <c r="M85" s="27" t="str">
        <f ca="1" t="shared" si="3"/>
        <v/>
      </c>
    </row>
    <row r="86" ht="15.75" spans="1:13">
      <c r="A86" s="24"/>
      <c r="B86" s="24"/>
      <c r="C86" s="24"/>
      <c r="D86" s="24"/>
      <c r="E86" s="24"/>
      <c r="F86" s="24"/>
      <c r="G86" s="25"/>
      <c r="H86" s="31"/>
      <c r="I86" s="31"/>
      <c r="J86" s="31"/>
      <c r="K86" s="28"/>
      <c r="L86" s="27" t="str">
        <f ca="1" t="shared" si="2"/>
        <v/>
      </c>
      <c r="M86" s="27" t="str">
        <f ca="1" t="shared" si="3"/>
        <v/>
      </c>
    </row>
    <row r="87" ht="15.75" spans="1:13">
      <c r="A87" s="24"/>
      <c r="B87" s="24"/>
      <c r="C87" s="24"/>
      <c r="D87" s="24"/>
      <c r="E87" s="24"/>
      <c r="F87" s="24"/>
      <c r="G87" s="25"/>
      <c r="H87" s="31"/>
      <c r="I87" s="31"/>
      <c r="J87" s="31"/>
      <c r="K87" s="28"/>
      <c r="L87" s="27" t="str">
        <f ca="1" t="shared" si="2"/>
        <v/>
      </c>
      <c r="M87" s="27" t="str">
        <f ca="1" t="shared" si="3"/>
        <v/>
      </c>
    </row>
    <row r="88" ht="15.75" spans="1:13">
      <c r="A88" s="24"/>
      <c r="B88" s="24"/>
      <c r="C88" s="24"/>
      <c r="D88" s="24"/>
      <c r="E88" s="24"/>
      <c r="F88" s="24"/>
      <c r="G88" s="25"/>
      <c r="H88" s="31"/>
      <c r="I88" s="31"/>
      <c r="J88" s="31"/>
      <c r="K88" s="28"/>
      <c r="L88" s="27" t="str">
        <f ca="1" t="shared" si="2"/>
        <v/>
      </c>
      <c r="M88" s="27" t="str">
        <f ca="1" t="shared" si="3"/>
        <v/>
      </c>
    </row>
    <row r="89" ht="15.75" spans="1:13">
      <c r="A89" s="24"/>
      <c r="B89" s="24"/>
      <c r="C89" s="24"/>
      <c r="D89" s="24"/>
      <c r="E89" s="24"/>
      <c r="F89" s="24"/>
      <c r="G89" s="25"/>
      <c r="H89" s="31"/>
      <c r="I89" s="31"/>
      <c r="J89" s="31"/>
      <c r="K89" s="28"/>
      <c r="L89" s="27" t="str">
        <f ca="1" t="shared" si="2"/>
        <v/>
      </c>
      <c r="M89" s="27" t="str">
        <f ca="1" t="shared" si="3"/>
        <v/>
      </c>
    </row>
    <row r="90" ht="15.75" spans="1:13">
      <c r="A90" s="24"/>
      <c r="B90" s="24"/>
      <c r="C90" s="24"/>
      <c r="D90" s="24"/>
      <c r="E90" s="24"/>
      <c r="F90" s="24"/>
      <c r="G90" s="25"/>
      <c r="H90" s="31"/>
      <c r="I90" s="31"/>
      <c r="J90" s="31"/>
      <c r="K90" s="28"/>
      <c r="L90" s="27" t="str">
        <f ca="1" t="shared" si="2"/>
        <v/>
      </c>
      <c r="M90" s="27" t="str">
        <f ca="1" t="shared" si="3"/>
        <v/>
      </c>
    </row>
    <row r="91" ht="15.75" spans="1:13">
      <c r="A91" s="24"/>
      <c r="B91" s="24"/>
      <c r="C91" s="24"/>
      <c r="D91" s="24"/>
      <c r="E91" s="24"/>
      <c r="F91" s="24"/>
      <c r="G91" s="25"/>
      <c r="H91" s="31"/>
      <c r="I91" s="31"/>
      <c r="J91" s="31"/>
      <c r="K91" s="28"/>
      <c r="L91" s="27" t="str">
        <f ca="1" t="shared" si="2"/>
        <v/>
      </c>
      <c r="M91" s="27" t="str">
        <f ca="1" t="shared" si="3"/>
        <v/>
      </c>
    </row>
    <row r="92" ht="15.75" spans="1:13">
      <c r="A92" s="24"/>
      <c r="B92" s="24"/>
      <c r="C92" s="24"/>
      <c r="D92" s="24"/>
      <c r="E92" s="24"/>
      <c r="F92" s="24"/>
      <c r="G92" s="25"/>
      <c r="H92" s="31"/>
      <c r="I92" s="31"/>
      <c r="J92" s="31"/>
      <c r="K92" s="28"/>
      <c r="L92" s="27" t="str">
        <f ca="1" t="shared" si="2"/>
        <v/>
      </c>
      <c r="M92" s="27" t="str">
        <f ca="1" t="shared" si="3"/>
        <v/>
      </c>
    </row>
    <row r="93" ht="15.75" spans="1:13">
      <c r="A93" s="24"/>
      <c r="B93" s="24"/>
      <c r="C93" s="24"/>
      <c r="D93" s="24"/>
      <c r="E93" s="24"/>
      <c r="F93" s="24"/>
      <c r="G93" s="25"/>
      <c r="H93" s="31"/>
      <c r="I93" s="31"/>
      <c r="J93" s="31"/>
      <c r="K93" s="28"/>
      <c r="L93" s="27" t="str">
        <f ca="1" t="shared" si="2"/>
        <v/>
      </c>
      <c r="M93" s="27" t="str">
        <f ca="1" t="shared" si="3"/>
        <v/>
      </c>
    </row>
    <row r="94" ht="15.75" spans="1:13">
      <c r="A94" s="24"/>
      <c r="B94" s="24"/>
      <c r="C94" s="24"/>
      <c r="D94" s="24"/>
      <c r="E94" s="24"/>
      <c r="F94" s="24"/>
      <c r="G94" s="25"/>
      <c r="H94" s="31"/>
      <c r="I94" s="31"/>
      <c r="J94" s="31"/>
      <c r="K94" s="28"/>
      <c r="L94" s="27" t="str">
        <f ca="1" t="shared" si="2"/>
        <v/>
      </c>
      <c r="M94" s="27" t="str">
        <f ca="1" t="shared" si="3"/>
        <v/>
      </c>
    </row>
    <row r="95" ht="15.75" spans="1:13">
      <c r="A95" s="24"/>
      <c r="B95" s="24"/>
      <c r="C95" s="24"/>
      <c r="D95" s="24"/>
      <c r="E95" s="24"/>
      <c r="F95" s="24"/>
      <c r="G95" s="25"/>
      <c r="H95" s="31"/>
      <c r="I95" s="31"/>
      <c r="J95" s="31"/>
      <c r="K95" s="28"/>
      <c r="L95" s="27" t="str">
        <f ca="1" t="shared" si="2"/>
        <v/>
      </c>
      <c r="M95" s="27" t="str">
        <f ca="1" t="shared" si="3"/>
        <v/>
      </c>
    </row>
    <row r="96" ht="15.75" spans="1:13">
      <c r="A96" s="24"/>
      <c r="B96" s="24"/>
      <c r="C96" s="24"/>
      <c r="D96" s="24"/>
      <c r="E96" s="24"/>
      <c r="F96" s="24"/>
      <c r="G96" s="25"/>
      <c r="H96" s="31"/>
      <c r="I96" s="31"/>
      <c r="J96" s="31"/>
      <c r="K96" s="28"/>
      <c r="L96" s="27" t="str">
        <f ca="1" t="shared" si="2"/>
        <v/>
      </c>
      <c r="M96" s="27" t="str">
        <f ca="1" t="shared" si="3"/>
        <v/>
      </c>
    </row>
  </sheetData>
  <autoFilter xmlns:etc="http://www.wps.cn/officeDocument/2017/etCustomData" ref="A7:M96" etc:filterBottomFollowUsedRange="0">
    <extLst/>
  </autoFilter>
  <conditionalFormatting sqref="D2">
    <cfRule type="cellIs" dxfId="0" priority="87" operator="greaterThanOrEqual">
      <formula>0.8</formula>
    </cfRule>
    <cfRule type="cellIs" dxfId="1" priority="66" operator="greaterThanOrEqual">
      <formula>80</formula>
    </cfRule>
    <cfRule type="cellIs" dxfId="2" priority="65" operator="between">
      <formula>0.5</formula>
      <formula>79</formula>
    </cfRule>
    <cfRule type="cellIs" dxfId="3" priority="64" operator="lessThan">
      <formula>0.5</formula>
    </cfRule>
  </conditionalFormatting>
  <conditionalFormatting sqref="E8">
    <cfRule type="containsText" dxfId="4" priority="92" operator="between" text="Needs Correction">
      <formula>NOT(ISERROR(SEARCH("Needs Correction",E8)))</formula>
    </cfRule>
    <cfRule type="containsText" dxfId="5" priority="91" operator="between" text="In Progress">
      <formula>NOT(ISERROR(SEARCH("In Progress",E8)))</formula>
    </cfRule>
    <cfRule type="containsText" dxfId="6" priority="90" operator="between" text="Pending">
      <formula>NOT(ISERROR(SEARCH("Pending",E8)))</formula>
    </cfRule>
    <cfRule type="containsText" dxfId="7" priority="89" operator="between" text="In Progress">
      <formula>NOT(ISERROR(SEARCH("In Progress",E8)))</formula>
    </cfRule>
    <cfRule type="containsText" dxfId="8" priority="78" operator="between" text="Needs Correction">
      <formula>NOT(ISERROR(SEARCH("Needs Correction",E8)))</formula>
    </cfRule>
    <cfRule type="containsText" dxfId="9" priority="77" operator="between" text="Needs Correction">
      <formula>NOT(ISERROR(SEARCH("Needs Correction",E8)))</formula>
    </cfRule>
    <cfRule type="containsText" dxfId="10" priority="76" operator="between" text="Needs Correction">
      <formula>NOT(ISERROR(SEARCH("Needs Correction",E8)))</formula>
    </cfRule>
    <cfRule type="containsText" dxfId="11" priority="75" operator="between" text="Needs Correction">
      <formula>NOT(ISERROR(SEARCH("Needs Correction",E8)))</formula>
    </cfRule>
    <cfRule type="containsText" dxfId="12" priority="74" operator="between" text="Submitted">
      <formula>NOT(ISERROR(SEARCH("Submitted",E8)))</formula>
    </cfRule>
    <cfRule type="containsText" dxfId="12" priority="73" operator="between" text="In Progress">
      <formula>NOT(ISERROR(SEARCH("In Progress",E8)))</formula>
    </cfRule>
    <cfRule type="containsText" dxfId="12" priority="72" operator="between" text="Pending">
      <formula>NOT(ISERROR(SEARCH("Pending",E8)))</formula>
    </cfRule>
    <cfRule type="containsText" dxfId="13" priority="22" operator="between" text="Pending">
      <formula>NOT(ISERROR(SEARCH("Pending",E8)))</formula>
    </cfRule>
  </conditionalFormatting>
  <conditionalFormatting sqref="F8">
    <cfRule type="containsText" dxfId="14" priority="94" operator="between" text="Needs Correction">
      <formula>NOT(ISERROR(SEARCH("Needs Correction",F8)))</formula>
    </cfRule>
    <cfRule type="containsText" dxfId="4" priority="93" operator="between" text="Needs Correction">
      <formula>NOT(ISERROR(SEARCH("Needs Correction",F8)))</formula>
    </cfRule>
    <cfRule type="containsText" dxfId="15" priority="88" operator="between" text="No">
      <formula>NOT(ISERROR(SEARCH("No",F8)))</formula>
    </cfRule>
    <cfRule type="containsText" dxfId="16" priority="86" operator="between" text="Yes">
      <formula>NOT(ISERROR(SEARCH("Yes",F8)))</formula>
    </cfRule>
    <cfRule type="containsText" dxfId="17" priority="85" operator="between" text="Yes">
      <formula>NOT(ISERROR(SEARCH("Yes",F8)))</formula>
    </cfRule>
    <cfRule type="containsText" dxfId="18" priority="84" operator="between" text="Yes">
      <formula>NOT(ISERROR(SEARCH("Yes",F8)))</formula>
    </cfRule>
    <cfRule type="containsText" dxfId="19" priority="83" operator="between" text="Yes">
      <formula>NOT(ISERROR(SEARCH("Yes",F8)))</formula>
    </cfRule>
    <cfRule type="containsText" dxfId="20" priority="82" operator="between" text="Yes">
      <formula>NOT(ISERROR(SEARCH("Yes",F8)))</formula>
    </cfRule>
    <cfRule type="containsText" dxfId="21" priority="81" operator="between" text="Yes">
      <formula>NOT(ISERROR(SEARCH("Yes",F8)))</formula>
    </cfRule>
    <cfRule type="containsText" dxfId="22" priority="80" operator="between" text="Yes">
      <formula>NOT(ISERROR(SEARCH("Yes",F8)))</formula>
    </cfRule>
    <cfRule type="containsText" dxfId="23" priority="79" operator="between" text="Yes">
      <formula>NOT(ISERROR(SEARCH("Yes",F8)))</formula>
    </cfRule>
    <cfRule type="containsText" dxfId="24" priority="71" operator="between" text="Needs Correction">
      <formula>NOT(ISERROR(SEARCH("Needs Correction",F8)))</formula>
    </cfRule>
    <cfRule type="containsText" dxfId="25" priority="70" operator="between" text="Needs Correction">
      <formula>NOT(ISERROR(SEARCH("Needs Correction",F8)))</formula>
    </cfRule>
    <cfRule type="containsText" dxfId="10" priority="69" operator="between" text="Needs Correction">
      <formula>NOT(ISERROR(SEARCH("Needs Correction",F8)))</formula>
    </cfRule>
    <cfRule type="containsText" dxfId="12" priority="68" operator="between" text="Yes">
      <formula>NOT(ISERROR(SEARCH("Yes",F8)))</formula>
    </cfRule>
    <cfRule type="containsText" dxfId="12" priority="67" operator="between" text="No">
      <formula>NOT(ISERROR(SEARCH("No",F8)))</formula>
    </cfRule>
  </conditionalFormatting>
  <conditionalFormatting sqref="H8">
    <cfRule type="containsText" dxfId="26" priority="63" operator="between" text="High">
      <formula>NOT(ISERROR(SEARCH("High",H8)))</formula>
    </cfRule>
    <cfRule type="containsText" dxfId="26" priority="62" operator="between" text="High">
      <formula>NOT(ISERROR(SEARCH("High",H8)))</formula>
    </cfRule>
    <cfRule type="containsText" dxfId="27" priority="61" operator="between" text="Medium">
      <formula>NOT(ISERROR(SEARCH("Medium",H8)))</formula>
    </cfRule>
    <cfRule type="containsText" dxfId="28" priority="60" operator="between" text="Low">
      <formula>NOT(ISERROR(SEARCH("Low",H8)))</formula>
    </cfRule>
  </conditionalFormatting>
  <conditionalFormatting sqref="I8">
    <cfRule type="containsText" dxfId="27" priority="59" operator="between" text="Yes">
      <formula>NOT(ISERROR(SEARCH("Yes",I8)))</formula>
    </cfRule>
    <cfRule type="containsText" dxfId="28" priority="58" operator="between" text="No">
      <formula>NOT(ISERROR(SEARCH("No",I8)))</formula>
    </cfRule>
  </conditionalFormatting>
  <conditionalFormatting sqref="J8">
    <cfRule type="containsText" dxfId="29" priority="41" operator="between" text="HR">
      <formula>NOT(ISERROR(SEARCH("HR",J8)))</formula>
    </cfRule>
    <cfRule type="containsText" dxfId="30" priority="40" operator="between" text="Finance">
      <formula>NOT(ISERROR(SEARCH("Finance",J8)))</formula>
    </cfRule>
    <cfRule type="containsText" dxfId="31" priority="39" operator="between" text="Operations">
      <formula>NOT(ISERROR(SEARCH("Operations",J8)))</formula>
    </cfRule>
    <cfRule type="containsText" dxfId="32" priority="38" operator="between" text="HR">
      <formula>NOT(ISERROR(SEARCH("HR",J8)))</formula>
    </cfRule>
    <cfRule type="containsText" dxfId="33" priority="37" operator="between" text="HR">
      <formula>NOT(ISERROR(SEARCH("HR",J8)))</formula>
    </cfRule>
    <cfRule type="containsText" dxfId="34" priority="36" operator="between" text="Customer Service">
      <formula>NOT(ISERROR(SEARCH("Customer Service",J8)))</formula>
    </cfRule>
    <cfRule type="containsText" dxfId="35" priority="35" operator="between" text="Sales">
      <formula>NOT(ISERROR(SEARCH("Sales",J8)))</formula>
    </cfRule>
    <cfRule type="containsText" dxfId="36" priority="34" operator="between" text="Administration">
      <formula>NOT(ISERROR(SEARCH("Administration",J8)))</formula>
    </cfRule>
  </conditionalFormatting>
  <conditionalFormatting sqref="L8">
    <cfRule type="containsText" dxfId="27" priority="55" operator="between" text="Pending">
      <formula>NOT(ISERROR(SEARCH("Pending",L8)))</formula>
    </cfRule>
  </conditionalFormatting>
  <conditionalFormatting sqref="M8">
    <cfRule type="containsText" dxfId="28" priority="12" operator="between" text="Days Remaining">
      <formula>NOT(ISERROR(SEARCH("Days Remaining",M8)))</formula>
    </cfRule>
    <cfRule type="containsText" dxfId="37" priority="9" operator="between" text="2 days remaining">
      <formula>NOT(ISERROR(SEARCH("2 days remaining",M8)))</formula>
    </cfRule>
    <cfRule type="containsText" dxfId="37" priority="8" operator="between" text="2 days remaining">
      <formula>NOT(ISERROR(SEARCH("2 days remaining",M8)))</formula>
    </cfRule>
    <cfRule type="containsText" dxfId="38" priority="7" operator="between" text="2 days remaining">
      <formula>NOT(ISERROR(SEARCH("2 days remaining",M8)))</formula>
    </cfRule>
  </conditionalFormatting>
  <conditionalFormatting sqref="L9">
    <cfRule type="containsText" dxfId="26" priority="56" operator="between" text="Overdue">
      <formula>NOT(ISERROR(SEARCH("Overdue",L9)))</formula>
    </cfRule>
  </conditionalFormatting>
  <conditionalFormatting sqref="M9">
    <cfRule type="containsText" dxfId="39" priority="46" operator="between" text="Days Overdue">
      <formula>NOT(ISERROR(SEARCH("Days Overdue",M9)))</formula>
    </cfRule>
    <cfRule type="containsText" dxfId="40" priority="11" operator="between" text="ays Remaining">
      <formula>NOT(ISERROR(SEARCH("ays Remaining",M9)))</formula>
    </cfRule>
    <cfRule type="containsText" dxfId="40" priority="10" operator="between" text="Due Today">
      <formula>NOT(ISERROR(SEARCH("Due Today",M9)))</formula>
    </cfRule>
    <cfRule type="containsText" dxfId="28" priority="6" operator="between" text="Due Today">
      <formula>NOT(ISERROR(SEARCH("Due Today",M9)))</formula>
    </cfRule>
  </conditionalFormatting>
  <conditionalFormatting sqref="M10">
    <cfRule type="containsText" dxfId="41" priority="5" operator="between" text="Days Remaining">
      <formula>NOT(ISERROR(SEARCH("Days Remaining",M10)))</formula>
    </cfRule>
  </conditionalFormatting>
  <conditionalFormatting sqref="E11">
    <cfRule type="containsText" dxfId="26" priority="4" operator="between" text="Needs Correction">
      <formula>NOT(ISERROR(SEARCH("Needs Correction",E11)))</formula>
    </cfRule>
  </conditionalFormatting>
  <conditionalFormatting sqref="E$1:E$1048576">
    <cfRule type="containsText" dxfId="42" priority="99" operator="between" text="Needs Correction">
      <formula>NOT(ISERROR(SEARCH("Needs Correction",E1)))</formula>
    </cfRule>
    <cfRule type="containsText" dxfId="42" priority="100" operator="between" text="Needs Correction">
      <formula>NOT(ISERROR(SEARCH("Needs Correction",E1)))</formula>
    </cfRule>
    <cfRule type="containsText" dxfId="42" priority="101" operator="between" text="Needs Correction">
      <formula>NOT(ISERROR(SEARCH("Needs Correction",E1)))</formula>
    </cfRule>
    <cfRule type="containsText" dxfId="43" priority="102" operator="between" text="Pending">
      <formula>NOT(ISERROR(SEARCH("Pending",E1)))</formula>
    </cfRule>
    <cfRule type="containsText" dxfId="44" priority="103" operator="between" text="In Progress">
      <formula>NOT(ISERROR(SEARCH("In Progress",E1)))</formula>
    </cfRule>
    <cfRule type="containsText" dxfId="45" priority="104" operator="between" text="In Progress">
      <formula>NOT(ISERROR(SEARCH("In Progress",E1)))</formula>
    </cfRule>
  </conditionalFormatting>
  <conditionalFormatting sqref="E8:E96">
    <cfRule type="containsText" dxfId="26" priority="1" operator="between" text="Needs Correction">
      <formula>NOT(ISERROR(SEARCH("Needs Correction",E8)))</formula>
    </cfRule>
    <cfRule type="containsText" dxfId="33" priority="31" operator="between" text="Pending">
      <formula>NOT(ISERROR(SEARCH("Pending",E8)))</formula>
    </cfRule>
    <cfRule type="containsText" dxfId="46" priority="32" operator="between" text="In Progress">
      <formula>NOT(ISERROR(SEARCH("In Progress",E8)))</formula>
    </cfRule>
    <cfRule type="containsText" dxfId="47" priority="33" operator="between" text="In Progress">
      <formula>NOT(ISERROR(SEARCH("In Progress",E8)))</formula>
    </cfRule>
    <cfRule type="containsText" dxfId="48" priority="105" operator="between" text="Submitted">
      <formula>NOT(ISERROR(SEARCH("Submitted",E8)))</formula>
    </cfRule>
  </conditionalFormatting>
  <conditionalFormatting sqref="F8:F96">
    <cfRule type="containsText" dxfId="26" priority="26" operator="between" text="Needs Correction">
      <formula>NOT(ISERROR(SEARCH("Needs Correction",F8)))</formula>
    </cfRule>
    <cfRule type="containsText" dxfId="49" priority="27" operator="between" text="Needs Correction">
      <formula>NOT(ISERROR(SEARCH("Needs Correction",F8)))</formula>
    </cfRule>
    <cfRule type="containsText" dxfId="26" priority="28" operator="between" text="Needs Correction">
      <formula>NOT(ISERROR(SEARCH("Needs Correction",F8)))</formula>
    </cfRule>
    <cfRule type="containsText" dxfId="13" priority="29" operator="between" text="No">
      <formula>NOT(ISERROR(SEARCH("No",F8)))</formula>
    </cfRule>
    <cfRule type="containsText" dxfId="33" priority="30" operator="between" text="No">
      <formula>NOT(ISERROR(SEARCH("No",F8)))</formula>
    </cfRule>
    <cfRule type="containsText" dxfId="50" priority="95" operator="between" text="Needs Correction">
      <formula>NOT(ISERROR(SEARCH("Needs Correction",F8)))</formula>
    </cfRule>
    <cfRule type="containsText" dxfId="50" priority="96" operator="between" text="Needs Corr">
      <formula>NOT(ISERROR(SEARCH("Needs Corr",F8)))</formula>
    </cfRule>
    <cfRule type="containsText" dxfId="43" priority="97" operator="between" text="No">
      <formula>NOT(ISERROR(SEARCH("No",F8)))</formula>
    </cfRule>
    <cfRule type="containsText" dxfId="48" priority="98" operator="between" text="Yes">
      <formula>NOT(ISERROR(SEARCH("Yes",F8)))</formula>
    </cfRule>
  </conditionalFormatting>
  <conditionalFormatting sqref="H8:H96">
    <cfRule type="containsText" dxfId="28" priority="2" operator="between" text="Low">
      <formula>NOT(ISERROR(SEARCH("Low",H8)))</formula>
    </cfRule>
    <cfRule type="containsText" dxfId="13" priority="24" operator="between" text="Medium">
      <formula>NOT(ISERROR(SEARCH("Medium",H8)))</formula>
    </cfRule>
    <cfRule type="containsText" dxfId="26" priority="25" operator="between" text="High">
      <formula>NOT(ISERROR(SEARCH("High",H8)))</formula>
    </cfRule>
  </conditionalFormatting>
  <conditionalFormatting sqref="I8:I96">
    <cfRule type="containsText" dxfId="33" priority="20" operator="between" text="No">
      <formula>NOT(ISERROR(SEARCH("No",I8)))</formula>
    </cfRule>
    <cfRule type="containsText" dxfId="28" priority="21" operator="between" text="Yes">
      <formula>NOT(ISERROR(SEARCH("Yes",I8)))</formula>
    </cfRule>
    <cfRule type="containsText" dxfId="13" priority="23" operator="between" text="Yes">
      <formula>NOT(ISERROR(SEARCH("Yes",I8)))</formula>
    </cfRule>
  </conditionalFormatting>
  <conditionalFormatting sqref="J8:J96">
    <cfRule type="containsText" dxfId="35" priority="13" operator="between" text="Sales">
      <formula>NOT(ISERROR(SEARCH("Sales",J8)))</formula>
    </cfRule>
    <cfRule type="containsText" dxfId="34" priority="14" operator="between" text="Customer Service">
      <formula>NOT(ISERROR(SEARCH("Customer Service",J8)))</formula>
    </cfRule>
    <cfRule type="containsText" dxfId="31" priority="15" operator="between" text="Operations">
      <formula>NOT(ISERROR(SEARCH("Operations",J8)))</formula>
    </cfRule>
    <cfRule type="containsText" dxfId="30" priority="16" operator="between" text="Finance">
      <formula>NOT(ISERROR(SEARCH("Finance",J8)))</formula>
    </cfRule>
    <cfRule type="containsText" dxfId="51" priority="17" operator="between" text="HR">
      <formula>NOT(ISERROR(SEARCH("HR",J8)))</formula>
    </cfRule>
    <cfRule type="containsText" dxfId="33" priority="18" operator="between" text="HR">
      <formula>NOT(ISERROR(SEARCH("HR",J8)))</formula>
    </cfRule>
    <cfRule type="containsText" dxfId="52" priority="19" operator="between" text="Administration">
      <formula>NOT(ISERROR(SEARCH("Administration",J8)))</formula>
    </cfRule>
    <cfRule type="containsText" dxfId="53" priority="42" operator="between" text="HR">
      <formula>NOT(ISERROR(SEARCH("HR",J8)))</formula>
    </cfRule>
    <cfRule type="containsText" dxfId="54" priority="43" operator="between" text="Administration">
      <formula>NOT(ISERROR(SEARCH("Administration",J8)))</formula>
    </cfRule>
    <cfRule type="containsText" dxfId="55" priority="44" operator="between" text="Administration">
      <formula>NOT(ISERROR(SEARCH("Administration",J8)))</formula>
    </cfRule>
  </conditionalFormatting>
  <conditionalFormatting sqref="L8:L96">
    <cfRule type="containsText" dxfId="56" priority="53" operator="between" text="Late">
      <formula>NOT(ISERROR(SEARCH("Late",L8)))</formula>
    </cfRule>
    <cfRule type="containsText" dxfId="27" priority="54" operator="between" text="Pending">
      <formula>NOT(ISERROR(SEARCH("Pending",L8)))</formula>
    </cfRule>
    <cfRule type="containsText" dxfId="28" priority="57" operator="between" text="On Time">
      <formula>NOT(ISERROR(SEARCH("On Time",L8)))</formula>
    </cfRule>
  </conditionalFormatting>
  <conditionalFormatting sqref="M7:M96">
    <cfRule type="containsText" dxfId="37" priority="49" operator="between" text="Days Overdue">
      <formula>NOT(ISERROR(SEARCH("Days Overdue",M7)))</formula>
    </cfRule>
    <cfRule type="containsText" dxfId="57" priority="50" operator="between" text="Days Remaining">
      <formula>NOT(ISERROR(SEARCH("Days Remaining",M7)))</formula>
    </cfRule>
    <cfRule type="containsText" dxfId="27" priority="51" operator="between" text="Due Today">
      <formula>NOT(ISERROR(SEARCH("Due Today",M7)))</formula>
    </cfRule>
    <cfRule type="containsText" dxfId="28" priority="52" operator="between" text="Completed">
      <formula>NOT(ISERROR(SEARCH("Completed",M7)))</formula>
    </cfRule>
  </conditionalFormatting>
  <conditionalFormatting sqref="M8:M96">
    <cfRule type="containsText" dxfId="58" priority="3" operator="between" text="Days remaining">
      <formula>NOT(ISERROR(SEARCH("Days remaining",M8)))</formula>
    </cfRule>
    <cfRule type="containsText" dxfId="59" priority="45" operator="between" text="Days Overdue">
      <formula>NOT(ISERROR(SEARCH("Days Overdue",M8)))</formula>
    </cfRule>
    <cfRule type="containsText" dxfId="60" priority="47" operator="between" text="days Overdue">
      <formula>NOT(ISERROR(SEARCH("days Overdue",M8)))</formula>
    </cfRule>
    <cfRule type="containsText" dxfId="61" priority="48" operator="between" text="Days Overdue">
      <formula>NOT(ISERROR(SEARCH("Days Overdue",M8)))</formula>
    </cfRule>
  </conditionalFormatting>
  <dataValidations count="6">
    <dataValidation type="list" allowBlank="1" showInputMessage="1" sqref="E7">
      <formula1>"Submitted, In Progress, Pending, Needs Correction"</formula1>
    </dataValidation>
    <dataValidation type="list" allowBlank="1" showInputMessage="1" showErrorMessage="1" sqref="E1:E6 E8:E19 E20:E1048576">
      <formula1>"Submitted, In Progress, Pending, Needs Correction"</formula1>
    </dataValidation>
    <dataValidation type="list" allowBlank="1" showInputMessage="1" showErrorMessage="1" sqref="F8:F19 F20:F96">
      <formula1>"Yes, No, Needs Correction"</formula1>
    </dataValidation>
    <dataValidation type="list" allowBlank="1" showInputMessage="1" showErrorMessage="1" sqref="H8:H19 H20:H96">
      <formula1>"High, Medium, Low"</formula1>
    </dataValidation>
    <dataValidation type="list" allowBlank="1" showInputMessage="1" showErrorMessage="1" sqref="I8:I19 I20:I96">
      <formula1>"Yes, No"</formula1>
    </dataValidation>
    <dataValidation type="list" allowBlank="1" showInputMessage="1" showErrorMessage="1" sqref="J8:J19 J20:J96">
      <formula1>"Administration, HR, Finance, Operations, Customer Service, Sales"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2026-08-21T13:47:00Z</dcterms:created>
  <dcterms:modified xsi:type="dcterms:W3CDTF">2026-08-22T02:11:43Z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A9538CFC9E3F4B429BE19C8451837863_11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